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F:\NTU\quantification\data\2022.10.18\source_data_for_figures\update_results\"/>
    </mc:Choice>
  </mc:AlternateContent>
  <xr:revisionPtr revIDLastSave="0" documentId="13_ncr:1_{4DD94044-B334-4F9A-A6D6-4A788627DE42}" xr6:coauthVersionLast="47" xr6:coauthVersionMax="47" xr10:uidLastSave="{00000000-0000-0000-0000-000000000000}"/>
  <bookViews>
    <workbookView xWindow="228" yWindow="168" windowWidth="11736" windowHeight="11556" firstSheet="1" activeTab="1" xr2:uid="{00000000-000D-0000-FFFF-FFFF00000000}"/>
  </bookViews>
  <sheets>
    <sheet name="FP_all" sheetId="1" r:id="rId1"/>
    <sheet name="Sheet3" sheetId="7" r:id="rId2"/>
    <sheet name="FP_fig" sheetId="2" r:id="rId3"/>
    <sheet name="FP_fig1" sheetId="3" r:id="rId4"/>
    <sheet name="cls_cv_err" sheetId="4" r:id="rId5"/>
    <sheet name="importance" sheetId="6" r:id="rId6"/>
    <sheet name="cv_ress" sheetId="5" r:id="rId7"/>
    <sheet name="Sheet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2" i="6"/>
  <c r="D13" i="6"/>
  <c r="D12" i="6"/>
  <c r="D11" i="6"/>
  <c r="D10" i="6"/>
  <c r="D9" i="6"/>
  <c r="D8" i="6"/>
  <c r="D7" i="6"/>
  <c r="D6" i="6"/>
  <c r="Q15" i="5"/>
  <c r="P15" i="5"/>
  <c r="O15" i="5"/>
  <c r="N15" i="5"/>
  <c r="M15" i="5"/>
  <c r="Q14" i="5"/>
  <c r="P14" i="5"/>
  <c r="O14" i="5"/>
  <c r="N14" i="5"/>
  <c r="M14" i="5"/>
  <c r="K15" i="5"/>
  <c r="J15" i="5"/>
  <c r="I15" i="5"/>
  <c r="H15" i="5"/>
  <c r="G15" i="5"/>
  <c r="K14" i="5"/>
  <c r="J14" i="5"/>
  <c r="I14" i="5"/>
  <c r="H14" i="5"/>
  <c r="G14" i="5"/>
  <c r="E15" i="5"/>
  <c r="D15" i="5"/>
  <c r="C15" i="5"/>
  <c r="B15" i="5"/>
  <c r="E14" i="5"/>
  <c r="D14" i="5"/>
  <c r="C14" i="5"/>
  <c r="B14" i="5"/>
  <c r="A15" i="5"/>
  <c r="A14" i="5"/>
</calcChain>
</file>

<file path=xl/sharedStrings.xml><?xml version="1.0" encoding="utf-8"?>
<sst xmlns="http://schemas.openxmlformats.org/spreadsheetml/2006/main" count="1096" uniqueCount="154">
  <si>
    <t>FragPipe</t>
    <phoneticPr fontId="1" type="noConversion"/>
  </si>
  <si>
    <t>H</t>
    <phoneticPr fontId="1" type="noConversion"/>
  </si>
  <si>
    <t>L</t>
    <phoneticPr fontId="1" type="noConversion"/>
  </si>
  <si>
    <t>maxquant</t>
    <phoneticPr fontId="1" type="noConversion"/>
  </si>
  <si>
    <t>ANOVA</t>
  </si>
  <si>
    <t>DIA-NN</t>
    <phoneticPr fontId="1" type="noConversion"/>
  </si>
  <si>
    <t>ProteoMM</t>
  </si>
  <si>
    <t>pep_LFQ</t>
  </si>
  <si>
    <t>MinDet</t>
  </si>
  <si>
    <t>pep_inten</t>
  </si>
  <si>
    <t>MinProb</t>
  </si>
  <si>
    <t>pro_LFQ</t>
  </si>
  <si>
    <t>No_norm</t>
  </si>
  <si>
    <t>DEqMS</t>
  </si>
  <si>
    <t>missForest</t>
  </si>
  <si>
    <t>limma</t>
  </si>
  <si>
    <t>ROTS</t>
  </si>
  <si>
    <t>QRILC</t>
  </si>
  <si>
    <t>pro_inten</t>
  </si>
  <si>
    <t>nbavg</t>
  </si>
  <si>
    <t>center.median</t>
  </si>
  <si>
    <t>center.mean</t>
  </si>
  <si>
    <t>sum</t>
  </si>
  <si>
    <t>No_MVI</t>
  </si>
  <si>
    <t>SAM</t>
  </si>
  <si>
    <t>sc</t>
  </si>
  <si>
    <t>ttest</t>
  </si>
  <si>
    <t>max</t>
  </si>
  <si>
    <t>div.median</t>
  </si>
  <si>
    <t>knn</t>
  </si>
  <si>
    <t>div.mean</t>
  </si>
  <si>
    <t>quantiles.robust</t>
  </si>
  <si>
    <t>bpca</t>
  </si>
  <si>
    <t>MLE</t>
  </si>
  <si>
    <t>DEP</t>
  </si>
  <si>
    <t>quantiles</t>
  </si>
  <si>
    <t>vsn</t>
  </si>
  <si>
    <t>norm</t>
  </si>
  <si>
    <t>proDA</t>
  </si>
  <si>
    <t>norm_raw</t>
  </si>
  <si>
    <t>MaxLFQ_raw</t>
  </si>
  <si>
    <t>raw</t>
  </si>
  <si>
    <t>pep_LFQ &amp; ProteoMM</t>
  </si>
  <si>
    <t>pep_inten &amp; ProteoMM</t>
  </si>
  <si>
    <t>MinProb &amp; pro_LFQ</t>
  </si>
  <si>
    <t>No_norm &amp; pro_LFQ</t>
  </si>
  <si>
    <t>pro_LFQ &amp; limma</t>
  </si>
  <si>
    <t>No_norm &amp; pro_inten</t>
  </si>
  <si>
    <t>missForest &amp; pro_inten</t>
  </si>
  <si>
    <t>MinProb &amp; pro_inten</t>
  </si>
  <si>
    <t>center.median &amp; pro_inten</t>
  </si>
  <si>
    <t>pro_inten &amp; DEqMS</t>
  </si>
  <si>
    <t>center.mean &amp; pro_inten</t>
  </si>
  <si>
    <t>DEP &amp; pro_inten</t>
  </si>
  <si>
    <t>pro_inten &amp; quantiles</t>
  </si>
  <si>
    <t>pro_inten &amp; limma</t>
  </si>
  <si>
    <t>norm &amp; ROTS</t>
  </si>
  <si>
    <t>pro_LFQ &amp; ROTS</t>
  </si>
  <si>
    <t>No_norm &amp; norm</t>
  </si>
  <si>
    <t>norm &amp; limma</t>
  </si>
  <si>
    <t>center.mean &amp; pro_LFQ</t>
  </si>
  <si>
    <t>center.mean &amp; norm</t>
  </si>
  <si>
    <t>pro_LFQ &amp; quantiles</t>
  </si>
  <si>
    <t>center.median &amp; pro_LFQ</t>
  </si>
  <si>
    <t>norm &amp; center.median</t>
  </si>
  <si>
    <t>SR</t>
    <phoneticPr fontId="1" type="noConversion"/>
  </si>
  <si>
    <t>feature</t>
    <phoneticPr fontId="1" type="noConversion"/>
  </si>
  <si>
    <t>platform</t>
    <phoneticPr fontId="1" type="noConversion"/>
  </si>
  <si>
    <t>label</t>
    <phoneticPr fontId="1" type="noConversion"/>
  </si>
  <si>
    <t>feature_full</t>
    <phoneticPr fontId="1" type="noConversion"/>
  </si>
  <si>
    <t>Platform</t>
    <phoneticPr fontId="1" type="noConversion"/>
  </si>
  <si>
    <t>metrics</t>
    <phoneticPr fontId="1" type="noConversion"/>
  </si>
  <si>
    <t>value</t>
    <phoneticPr fontId="1" type="noConversion"/>
  </si>
  <si>
    <t>sd</t>
    <phoneticPr fontId="1" type="noConversion"/>
  </si>
  <si>
    <t>Accuracy</t>
    <phoneticPr fontId="1" type="noConversion"/>
  </si>
  <si>
    <t>F1</t>
    <phoneticPr fontId="1" type="noConversion"/>
  </si>
  <si>
    <t>MCC</t>
    <phoneticPr fontId="1" type="noConversion"/>
  </si>
  <si>
    <t>Recall</t>
    <phoneticPr fontId="1" type="noConversion"/>
  </si>
  <si>
    <t>Precision</t>
    <phoneticPr fontId="1" type="noConversion"/>
  </si>
  <si>
    <t>MAXQUANT</t>
    <phoneticPr fontId="1" type="noConversion"/>
  </si>
  <si>
    <t>importance</t>
    <phoneticPr fontId="1" type="noConversion"/>
  </si>
  <si>
    <t>DEA</t>
    <phoneticPr fontId="1" type="noConversion"/>
  </si>
  <si>
    <t>expression_type</t>
    <phoneticPr fontId="1" type="noConversion"/>
  </si>
  <si>
    <t>MVI</t>
    <phoneticPr fontId="1" type="noConversion"/>
  </si>
  <si>
    <t>normalization</t>
    <phoneticPr fontId="1" type="noConversion"/>
  </si>
  <si>
    <t>l_y</t>
    <phoneticPr fontId="1" type="noConversion"/>
  </si>
  <si>
    <t>No_normalization</t>
  </si>
  <si>
    <t>No_normalization</t>
    <phoneticPr fontId="1" type="noConversion"/>
  </si>
  <si>
    <t>No_normalization &amp; pro_LFQ</t>
  </si>
  <si>
    <t>No_normalization &amp; pro_LFQ</t>
    <phoneticPr fontId="1" type="noConversion"/>
  </si>
  <si>
    <t>norm_inten</t>
    <phoneticPr fontId="1" type="noConversion"/>
  </si>
  <si>
    <t>sum</t>
    <phoneticPr fontId="1" type="noConversion"/>
  </si>
  <si>
    <t>quantiles.robust</t>
    <phoneticPr fontId="1" type="noConversion"/>
  </si>
  <si>
    <t>No_normalization &amp; norm</t>
  </si>
  <si>
    <t>No_normalization &amp; pro_inten</t>
  </si>
  <si>
    <t>ANOVA</t>
    <phoneticPr fontId="1" type="noConversion"/>
  </si>
  <si>
    <t>QRILC</t>
    <phoneticPr fontId="1" type="noConversion"/>
  </si>
  <si>
    <t>wf001</t>
  </si>
  <si>
    <t>mean_pauc001</t>
  </si>
  <si>
    <t>median_pauc001</t>
  </si>
  <si>
    <t>rank_pauc001</t>
  </si>
  <si>
    <t>wf005</t>
  </si>
  <si>
    <t>mean_pauc005</t>
  </si>
  <si>
    <t>median_pauc005</t>
  </si>
  <si>
    <t>rank_pauc005</t>
  </si>
  <si>
    <t>wf01</t>
  </si>
  <si>
    <t>mean_pauc01</t>
  </si>
  <si>
    <t>median_pauc01</t>
  </si>
  <si>
    <t>rank_pauc01</t>
  </si>
  <si>
    <t>wfnMCC</t>
  </si>
  <si>
    <t>mean_nMCC</t>
  </si>
  <si>
    <t>median_nMCC</t>
  </si>
  <si>
    <t>rank_nMCC</t>
  </si>
  <si>
    <t>wfgeomean</t>
  </si>
  <si>
    <t>mean_geomean</t>
  </si>
  <si>
    <t>median_geomean</t>
  </si>
  <si>
    <t>rank_geomean</t>
  </si>
  <si>
    <t>avg_rank_mean</t>
  </si>
  <si>
    <t>ensemble_hurdle|fragpipe|_|_|_3</t>
  </si>
  <si>
    <t>ensemble_set_min|fragpipe|_|_|_|7</t>
  </si>
  <si>
    <t>pauc001_mean_wf</t>
  </si>
  <si>
    <t>pauc001_mean_value</t>
  </si>
  <si>
    <t>pauc001_mean_rank</t>
  </si>
  <si>
    <t>pauc001_median_value</t>
  </si>
  <si>
    <t>pauc001_median_idx</t>
  </si>
  <si>
    <t>pauc005_mean_wf</t>
  </si>
  <si>
    <t>pauc005_mean_value</t>
  </si>
  <si>
    <t>pauc005_median_value</t>
  </si>
  <si>
    <t>pauc005_median_idx</t>
  </si>
  <si>
    <t>pauc01_mean_wf</t>
  </si>
  <si>
    <t>pauc01_mean_value</t>
  </si>
  <si>
    <t>pauc01_median_value</t>
  </si>
  <si>
    <t>pauc01_median_idx</t>
  </si>
  <si>
    <t>Gmean_mean_wf</t>
  </si>
  <si>
    <t>Gmean_mean_value</t>
  </si>
  <si>
    <t>Gmean_median_value</t>
  </si>
  <si>
    <t>Gmean_median_idx</t>
  </si>
  <si>
    <t>nMCC_mean_wf</t>
  </si>
  <si>
    <t>nMCC_mean_value</t>
  </si>
  <si>
    <t>nMCC_median_value</t>
  </si>
  <si>
    <t>nMCC_median_idx</t>
  </si>
  <si>
    <t>nMCC_median_rank</t>
  </si>
  <si>
    <t>avg_rank_median</t>
  </si>
  <si>
    <t>DEqMS|fragpipe|MaxLFQ|MinProb|</t>
  </si>
  <si>
    <t>ProteoMM|fragpipe|MaxLFQ|MinDet|max</t>
  </si>
  <si>
    <t>plgem|fragpipe||QRILC|div.mean</t>
  </si>
  <si>
    <t>ProteoMM|maxquant|LFQ|MinDet|max</t>
  </si>
  <si>
    <t>DEqMS|maxquant||MLE|center.median</t>
  </si>
  <si>
    <t>plgem|maxquant||QRILC|div.mean</t>
  </si>
  <si>
    <t>ensemble_hurdle|maxquant|_|_|_3</t>
  </si>
  <si>
    <t>ensemble_fisher|maxquant|_|_|_|2</t>
  </si>
  <si>
    <t>ensemble_set_min|DIANN|_|_|_20</t>
  </si>
  <si>
    <t>ROTS|DIANN|norm|QRILC|</t>
    <phoneticPr fontId="1" type="noConversion"/>
  </si>
  <si>
    <t>ROTS|DIANN|norm|QRILC|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</si>
</sst>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workbookViewId="0">
      <selection sqref="A1:D1048576"/>
    </sheetView>
  </sheetViews>
  <sheetFormatPr defaultRowHeight="13.8" x14ac:dyDescent="0.25"/>
  <cols>
    <col min="2" max="2" width="34" bestFit="1" customWidth="1"/>
  </cols>
  <sheetData>
    <row r="1" spans="1:4" x14ac:dyDescent="0.25">
      <c r="A1" s="1">
        <v>0.31788079470198599</v>
      </c>
      <c r="B1" s="1" t="s">
        <v>6</v>
      </c>
      <c r="C1" t="s">
        <v>0</v>
      </c>
      <c r="D1" t="s">
        <v>1</v>
      </c>
    </row>
    <row r="2" spans="1:4" x14ac:dyDescent="0.25">
      <c r="A2" s="1">
        <v>0.19867549668874099</v>
      </c>
      <c r="B2" s="1" t="s">
        <v>7</v>
      </c>
      <c r="C2" t="s">
        <v>0</v>
      </c>
      <c r="D2" t="s">
        <v>1</v>
      </c>
    </row>
    <row r="3" spans="1:4" x14ac:dyDescent="0.25">
      <c r="A3" s="1">
        <v>0.19867549668874099</v>
      </c>
      <c r="B3" s="1" t="s">
        <v>8</v>
      </c>
      <c r="C3" t="s">
        <v>0</v>
      </c>
      <c r="D3" t="s">
        <v>1</v>
      </c>
    </row>
    <row r="4" spans="1:4" x14ac:dyDescent="0.25">
      <c r="A4" s="1">
        <v>0.205298013245033</v>
      </c>
      <c r="B4" s="1" t="s">
        <v>9</v>
      </c>
      <c r="C4" t="s">
        <v>0</v>
      </c>
      <c r="D4" t="s">
        <v>1</v>
      </c>
    </row>
    <row r="5" spans="1:4" x14ac:dyDescent="0.25">
      <c r="A5" s="1">
        <v>0.23841059602649001</v>
      </c>
      <c r="B5" s="1" t="s">
        <v>10</v>
      </c>
      <c r="C5" t="s">
        <v>0</v>
      </c>
      <c r="D5" t="s">
        <v>1</v>
      </c>
    </row>
    <row r="6" spans="1:4" x14ac:dyDescent="0.25">
      <c r="A6" s="1">
        <v>0.41059602649006599</v>
      </c>
      <c r="B6" s="1" t="s">
        <v>11</v>
      </c>
      <c r="C6" t="s">
        <v>0</v>
      </c>
      <c r="D6" t="s">
        <v>1</v>
      </c>
    </row>
    <row r="7" spans="1:4" x14ac:dyDescent="0.25">
      <c r="A7" s="1">
        <v>0.41059602649006599</v>
      </c>
      <c r="B7" s="1" t="s">
        <v>12</v>
      </c>
      <c r="C7" t="s">
        <v>0</v>
      </c>
      <c r="D7" t="s">
        <v>1</v>
      </c>
    </row>
    <row r="8" spans="1:4" x14ac:dyDescent="0.25">
      <c r="A8" s="1">
        <v>0.13245033112582699</v>
      </c>
      <c r="B8" s="1" t="s">
        <v>13</v>
      </c>
      <c r="C8" t="s">
        <v>0</v>
      </c>
      <c r="D8" t="s">
        <v>1</v>
      </c>
    </row>
    <row r="9" spans="1:4" x14ac:dyDescent="0.25">
      <c r="A9" s="1">
        <v>0.17880794701986699</v>
      </c>
      <c r="B9" s="1" t="s">
        <v>14</v>
      </c>
      <c r="C9" t="s">
        <v>0</v>
      </c>
      <c r="D9" t="s">
        <v>1</v>
      </c>
    </row>
    <row r="10" spans="1:4" x14ac:dyDescent="0.25">
      <c r="A10" s="1">
        <v>0.158940397350993</v>
      </c>
      <c r="B10" s="1" t="s">
        <v>15</v>
      </c>
      <c r="C10" t="s">
        <v>0</v>
      </c>
      <c r="D10" t="s">
        <v>1</v>
      </c>
    </row>
    <row r="11" spans="1:4" x14ac:dyDescent="0.25">
      <c r="A11" s="1">
        <v>0.139072847682119</v>
      </c>
      <c r="B11" s="1" t="s">
        <v>16</v>
      </c>
      <c r="C11" t="s">
        <v>0</v>
      </c>
      <c r="D11" t="s">
        <v>1</v>
      </c>
    </row>
    <row r="12" spans="1:4" x14ac:dyDescent="0.25">
      <c r="A12" s="1">
        <v>0.105960264900662</v>
      </c>
      <c r="B12" s="1" t="s">
        <v>17</v>
      </c>
      <c r="C12" t="s">
        <v>0</v>
      </c>
      <c r="D12" t="s">
        <v>1</v>
      </c>
    </row>
    <row r="13" spans="1:4" x14ac:dyDescent="0.25">
      <c r="A13" s="1">
        <v>0.185430463576158</v>
      </c>
      <c r="B13" s="1" t="s">
        <v>18</v>
      </c>
      <c r="C13" t="s">
        <v>0</v>
      </c>
      <c r="D13" t="s">
        <v>1</v>
      </c>
    </row>
    <row r="14" spans="1:4" x14ac:dyDescent="0.25">
      <c r="A14" s="1">
        <v>0.105960264900662</v>
      </c>
      <c r="B14" s="1" t="s">
        <v>19</v>
      </c>
      <c r="C14" t="s">
        <v>0</v>
      </c>
      <c r="D14" t="s">
        <v>1</v>
      </c>
    </row>
    <row r="15" spans="1:4" x14ac:dyDescent="0.25">
      <c r="A15" s="1">
        <v>0.15231788079470199</v>
      </c>
      <c r="B15" s="1" t="s">
        <v>20</v>
      </c>
      <c r="C15" t="s">
        <v>0</v>
      </c>
      <c r="D15" t="s">
        <v>1</v>
      </c>
    </row>
    <row r="16" spans="1:4" x14ac:dyDescent="0.25">
      <c r="A16" s="1">
        <v>0.119205298013245</v>
      </c>
      <c r="B16" s="1" t="s">
        <v>21</v>
      </c>
      <c r="C16" t="s">
        <v>0</v>
      </c>
      <c r="D16" t="s">
        <v>1</v>
      </c>
    </row>
    <row r="17" spans="1:4" x14ac:dyDescent="0.25">
      <c r="A17" s="1">
        <v>0.158940397350993</v>
      </c>
      <c r="B17" s="1" t="s">
        <v>42</v>
      </c>
      <c r="C17" t="s">
        <v>0</v>
      </c>
      <c r="D17" t="s">
        <v>1</v>
      </c>
    </row>
    <row r="18" spans="1:4" x14ac:dyDescent="0.25">
      <c r="A18" s="1">
        <v>0.158940397350993</v>
      </c>
      <c r="B18" s="1" t="s">
        <v>43</v>
      </c>
      <c r="C18" t="s">
        <v>0</v>
      </c>
      <c r="D18" t="s">
        <v>1</v>
      </c>
    </row>
    <row r="19" spans="1:4" x14ac:dyDescent="0.25">
      <c r="A19" s="1">
        <v>0.105960264900662</v>
      </c>
      <c r="B19" s="1" t="s">
        <v>44</v>
      </c>
      <c r="C19" t="s">
        <v>0</v>
      </c>
      <c r="D19" t="s">
        <v>1</v>
      </c>
    </row>
    <row r="20" spans="1:4" x14ac:dyDescent="0.25">
      <c r="A20" s="1">
        <v>0.211920529801324</v>
      </c>
      <c r="B20" s="1" t="s">
        <v>45</v>
      </c>
      <c r="C20" t="s">
        <v>0</v>
      </c>
      <c r="D20" t="s">
        <v>1</v>
      </c>
    </row>
    <row r="21" spans="1:4" x14ac:dyDescent="0.25">
      <c r="A21" s="1">
        <v>0.119205298013245</v>
      </c>
      <c r="B21" s="1" t="s">
        <v>46</v>
      </c>
      <c r="C21" t="s">
        <v>0</v>
      </c>
      <c r="D21" t="s">
        <v>1</v>
      </c>
    </row>
    <row r="22" spans="1:4" x14ac:dyDescent="0.25">
      <c r="A22" s="1">
        <v>0.165562913907284</v>
      </c>
      <c r="B22" s="1" t="s">
        <v>47</v>
      </c>
      <c r="C22" t="s">
        <v>0</v>
      </c>
      <c r="D22" t="s">
        <v>1</v>
      </c>
    </row>
    <row r="23" spans="1:4" x14ac:dyDescent="0.25">
      <c r="A23" s="1">
        <v>0.14647137150466</v>
      </c>
      <c r="B23" s="1" t="s">
        <v>22</v>
      </c>
      <c r="C23" t="s">
        <v>0</v>
      </c>
      <c r="D23" t="s">
        <v>2</v>
      </c>
    </row>
    <row r="24" spans="1:4" x14ac:dyDescent="0.25">
      <c r="A24" s="1">
        <v>0.121837549933422</v>
      </c>
      <c r="B24" s="1" t="s">
        <v>23</v>
      </c>
      <c r="C24" t="s">
        <v>0</v>
      </c>
      <c r="D24" t="s">
        <v>2</v>
      </c>
    </row>
    <row r="25" spans="1:4" x14ac:dyDescent="0.25">
      <c r="A25" s="1">
        <v>0.384820239680426</v>
      </c>
      <c r="B25" s="1" t="s">
        <v>18</v>
      </c>
      <c r="C25" t="s">
        <v>0</v>
      </c>
      <c r="D25" t="s">
        <v>2</v>
      </c>
    </row>
    <row r="26" spans="1:4" x14ac:dyDescent="0.25">
      <c r="A26" s="1">
        <v>0.12716378162450001</v>
      </c>
      <c r="B26" s="1" t="s">
        <v>24</v>
      </c>
      <c r="C26" t="s">
        <v>0</v>
      </c>
      <c r="D26" t="s">
        <v>2</v>
      </c>
    </row>
    <row r="27" spans="1:4" x14ac:dyDescent="0.25">
      <c r="A27" s="1">
        <v>0.18442077230359499</v>
      </c>
      <c r="B27" s="1" t="s">
        <v>25</v>
      </c>
      <c r="C27" t="s">
        <v>0</v>
      </c>
      <c r="D27" t="s">
        <v>2</v>
      </c>
    </row>
    <row r="28" spans="1:4" x14ac:dyDescent="0.25">
      <c r="A28" s="1">
        <v>0.34087882822902799</v>
      </c>
      <c r="B28" s="1" t="s">
        <v>11</v>
      </c>
      <c r="C28" t="s">
        <v>0</v>
      </c>
      <c r="D28" t="s">
        <v>2</v>
      </c>
    </row>
    <row r="29" spans="1:4" x14ac:dyDescent="0.25">
      <c r="A29" s="1">
        <v>0.10918774966711001</v>
      </c>
      <c r="B29" s="1" t="s">
        <v>26</v>
      </c>
      <c r="C29" t="s">
        <v>0</v>
      </c>
      <c r="D29" t="s">
        <v>2</v>
      </c>
    </row>
    <row r="30" spans="1:4" x14ac:dyDescent="0.25">
      <c r="A30" s="1">
        <v>0.109853528628495</v>
      </c>
      <c r="B30" s="1" t="s">
        <v>27</v>
      </c>
      <c r="C30" t="s">
        <v>0</v>
      </c>
      <c r="D30" t="s">
        <v>2</v>
      </c>
    </row>
    <row r="31" spans="1:4" x14ac:dyDescent="0.25">
      <c r="A31" s="1">
        <v>0.115179760319573</v>
      </c>
      <c r="B31" s="1" t="s">
        <v>28</v>
      </c>
      <c r="C31" t="s">
        <v>0</v>
      </c>
      <c r="D31" t="s">
        <v>2</v>
      </c>
    </row>
    <row r="32" spans="1:4" x14ac:dyDescent="0.25">
      <c r="A32" s="1">
        <v>0.103195739014647</v>
      </c>
      <c r="B32" s="1" t="s">
        <v>29</v>
      </c>
      <c r="C32" t="s">
        <v>0</v>
      </c>
      <c r="D32" t="s">
        <v>2</v>
      </c>
    </row>
    <row r="33" spans="1:4" x14ac:dyDescent="0.25">
      <c r="A33" s="1">
        <v>0.118508655126498</v>
      </c>
      <c r="B33" s="1" t="s">
        <v>30</v>
      </c>
      <c r="C33" t="s">
        <v>0</v>
      </c>
      <c r="D33" t="s">
        <v>2</v>
      </c>
    </row>
    <row r="34" spans="1:4" x14ac:dyDescent="0.25">
      <c r="A34" s="1">
        <v>0.157123834886817</v>
      </c>
      <c r="B34" s="1" t="s">
        <v>4</v>
      </c>
      <c r="C34" t="s">
        <v>0</v>
      </c>
      <c r="D34" t="s">
        <v>2</v>
      </c>
    </row>
    <row r="35" spans="1:4" x14ac:dyDescent="0.25">
      <c r="A35" s="1">
        <v>0.199733688415446</v>
      </c>
      <c r="B35" s="1" t="s">
        <v>31</v>
      </c>
      <c r="C35" t="s">
        <v>0</v>
      </c>
      <c r="D35" t="s">
        <v>2</v>
      </c>
    </row>
    <row r="36" spans="1:4" x14ac:dyDescent="0.25">
      <c r="A36" s="1">
        <v>0.37748344370860898</v>
      </c>
      <c r="B36" s="1" t="s">
        <v>6</v>
      </c>
      <c r="C36" t="s">
        <v>3</v>
      </c>
      <c r="D36" t="s">
        <v>1</v>
      </c>
    </row>
    <row r="37" spans="1:4" x14ac:dyDescent="0.25">
      <c r="A37" s="1">
        <v>0.19867549668874099</v>
      </c>
      <c r="B37" s="1" t="s">
        <v>9</v>
      </c>
      <c r="C37" t="s">
        <v>3</v>
      </c>
      <c r="D37" t="s">
        <v>1</v>
      </c>
    </row>
    <row r="38" spans="1:4" x14ac:dyDescent="0.25">
      <c r="A38" s="1">
        <v>0.158940397350993</v>
      </c>
      <c r="B38" s="1" t="s">
        <v>8</v>
      </c>
      <c r="C38" t="s">
        <v>3</v>
      </c>
      <c r="D38" t="s">
        <v>1</v>
      </c>
    </row>
    <row r="39" spans="1:4" x14ac:dyDescent="0.25">
      <c r="A39" s="1">
        <v>0.22516556291390699</v>
      </c>
      <c r="B39" s="1" t="s">
        <v>7</v>
      </c>
      <c r="C39" t="s">
        <v>3</v>
      </c>
      <c r="D39" t="s">
        <v>1</v>
      </c>
    </row>
    <row r="40" spans="1:4" x14ac:dyDescent="0.25">
      <c r="A40" s="1">
        <v>0.205298013245033</v>
      </c>
      <c r="B40" s="1" t="s">
        <v>14</v>
      </c>
      <c r="C40" t="s">
        <v>3</v>
      </c>
      <c r="D40" t="s">
        <v>1</v>
      </c>
    </row>
    <row r="41" spans="1:4" x14ac:dyDescent="0.25">
      <c r="A41" s="1">
        <v>0.14569536423841001</v>
      </c>
      <c r="B41" s="1" t="s">
        <v>32</v>
      </c>
      <c r="C41" t="s">
        <v>3</v>
      </c>
      <c r="D41" t="s">
        <v>1</v>
      </c>
    </row>
    <row r="42" spans="1:4" x14ac:dyDescent="0.25">
      <c r="A42" s="1">
        <v>0.139072847682119</v>
      </c>
      <c r="B42" s="1" t="s">
        <v>33</v>
      </c>
      <c r="C42" t="s">
        <v>3</v>
      </c>
      <c r="D42" t="s">
        <v>1</v>
      </c>
    </row>
    <row r="43" spans="1:4" x14ac:dyDescent="0.25">
      <c r="A43" s="1">
        <v>0.158940397350993</v>
      </c>
      <c r="B43" s="1" t="s">
        <v>10</v>
      </c>
      <c r="C43" t="s">
        <v>3</v>
      </c>
      <c r="D43" t="s">
        <v>1</v>
      </c>
    </row>
    <row r="44" spans="1:4" x14ac:dyDescent="0.25">
      <c r="A44" s="1">
        <v>0.56953642384105896</v>
      </c>
      <c r="B44" s="1" t="s">
        <v>18</v>
      </c>
      <c r="C44" t="s">
        <v>3</v>
      </c>
      <c r="D44" t="s">
        <v>1</v>
      </c>
    </row>
    <row r="45" spans="1:4" x14ac:dyDescent="0.25">
      <c r="A45" s="1">
        <v>0.22516556291390699</v>
      </c>
      <c r="B45" s="1" t="s">
        <v>20</v>
      </c>
      <c r="C45" t="s">
        <v>3</v>
      </c>
      <c r="D45" t="s">
        <v>1</v>
      </c>
    </row>
    <row r="46" spans="1:4" x14ac:dyDescent="0.25">
      <c r="A46" s="1">
        <v>0.17218543046357601</v>
      </c>
      <c r="B46" s="1" t="s">
        <v>13</v>
      </c>
      <c r="C46" t="s">
        <v>3</v>
      </c>
      <c r="D46" t="s">
        <v>1</v>
      </c>
    </row>
    <row r="47" spans="1:4" x14ac:dyDescent="0.25">
      <c r="A47" s="1">
        <v>0.19867549668874099</v>
      </c>
      <c r="B47" s="1" t="s">
        <v>21</v>
      </c>
      <c r="C47" t="s">
        <v>3</v>
      </c>
      <c r="D47" t="s">
        <v>1</v>
      </c>
    </row>
    <row r="48" spans="1:4" x14ac:dyDescent="0.25">
      <c r="A48" s="1">
        <v>0.119205298013245</v>
      </c>
      <c r="B48" s="1" t="s">
        <v>34</v>
      </c>
      <c r="C48" t="s">
        <v>3</v>
      </c>
      <c r="D48" t="s">
        <v>1</v>
      </c>
    </row>
    <row r="49" spans="1:4" x14ac:dyDescent="0.25">
      <c r="A49" s="1">
        <v>0.14569536423841001</v>
      </c>
      <c r="B49" s="1" t="s">
        <v>35</v>
      </c>
      <c r="C49" t="s">
        <v>3</v>
      </c>
      <c r="D49" t="s">
        <v>1</v>
      </c>
    </row>
    <row r="50" spans="1:4" x14ac:dyDescent="0.25">
      <c r="A50" s="1">
        <v>0.12582781456953601</v>
      </c>
      <c r="B50" s="1" t="s">
        <v>15</v>
      </c>
      <c r="C50" t="s">
        <v>3</v>
      </c>
      <c r="D50" t="s">
        <v>1</v>
      </c>
    </row>
    <row r="51" spans="1:4" x14ac:dyDescent="0.25">
      <c r="A51" s="1">
        <v>0.119205298013245</v>
      </c>
      <c r="B51" s="1" t="s">
        <v>12</v>
      </c>
      <c r="C51" t="s">
        <v>3</v>
      </c>
      <c r="D51" t="s">
        <v>1</v>
      </c>
    </row>
    <row r="52" spans="1:4" x14ac:dyDescent="0.25">
      <c r="A52" s="1">
        <v>0.17880794701986699</v>
      </c>
      <c r="B52" s="1" t="s">
        <v>43</v>
      </c>
      <c r="C52" t="s">
        <v>3</v>
      </c>
      <c r="D52" t="s">
        <v>1</v>
      </c>
    </row>
    <row r="53" spans="1:4" x14ac:dyDescent="0.25">
      <c r="A53" s="1">
        <v>0.19867549668874099</v>
      </c>
      <c r="B53" s="1" t="s">
        <v>42</v>
      </c>
      <c r="C53" t="s">
        <v>3</v>
      </c>
      <c r="D53" t="s">
        <v>1</v>
      </c>
    </row>
    <row r="54" spans="1:4" x14ac:dyDescent="0.25">
      <c r="A54" s="1">
        <v>0.112582781456953</v>
      </c>
      <c r="B54" s="1" t="s">
        <v>48</v>
      </c>
      <c r="C54" t="s">
        <v>3</v>
      </c>
      <c r="D54" t="s">
        <v>1</v>
      </c>
    </row>
    <row r="55" spans="1:4" x14ac:dyDescent="0.25">
      <c r="A55" s="1">
        <v>0.105960264900662</v>
      </c>
      <c r="B55" s="1" t="s">
        <v>49</v>
      </c>
      <c r="C55" t="s">
        <v>3</v>
      </c>
      <c r="D55" t="s">
        <v>1</v>
      </c>
    </row>
    <row r="56" spans="1:4" x14ac:dyDescent="0.25">
      <c r="A56" s="1">
        <v>0.185430463576158</v>
      </c>
      <c r="B56" s="1" t="s">
        <v>50</v>
      </c>
      <c r="C56" t="s">
        <v>3</v>
      </c>
      <c r="D56" t="s">
        <v>1</v>
      </c>
    </row>
    <row r="57" spans="1:4" x14ac:dyDescent="0.25">
      <c r="A57" s="1">
        <v>0.165562913907284</v>
      </c>
      <c r="B57" s="1" t="s">
        <v>51</v>
      </c>
      <c r="C57" t="s">
        <v>3</v>
      </c>
      <c r="D57" t="s">
        <v>1</v>
      </c>
    </row>
    <row r="58" spans="1:4" x14ac:dyDescent="0.25">
      <c r="A58" s="1">
        <v>0.158940397350993</v>
      </c>
      <c r="B58" s="1" t="s">
        <v>52</v>
      </c>
      <c r="C58" t="s">
        <v>3</v>
      </c>
      <c r="D58" t="s">
        <v>1</v>
      </c>
    </row>
    <row r="59" spans="1:4" x14ac:dyDescent="0.25">
      <c r="A59" s="1">
        <v>0.119205298013245</v>
      </c>
      <c r="B59" s="1" t="s">
        <v>53</v>
      </c>
      <c r="C59" t="s">
        <v>3</v>
      </c>
      <c r="D59" t="s">
        <v>1</v>
      </c>
    </row>
    <row r="60" spans="1:4" x14ac:dyDescent="0.25">
      <c r="A60" s="1">
        <v>0.119205298013245</v>
      </c>
      <c r="B60" s="1" t="s">
        <v>54</v>
      </c>
      <c r="C60" t="s">
        <v>3</v>
      </c>
      <c r="D60" t="s">
        <v>1</v>
      </c>
    </row>
    <row r="61" spans="1:4" x14ac:dyDescent="0.25">
      <c r="A61" s="1">
        <v>0.12582781456953601</v>
      </c>
      <c r="B61" s="1" t="s">
        <v>55</v>
      </c>
      <c r="C61" t="s">
        <v>3</v>
      </c>
      <c r="D61" t="s">
        <v>1</v>
      </c>
    </row>
    <row r="62" spans="1:4" x14ac:dyDescent="0.25">
      <c r="A62" s="1">
        <v>0.105960264900662</v>
      </c>
      <c r="B62" s="1" t="s">
        <v>47</v>
      </c>
      <c r="C62" t="s">
        <v>3</v>
      </c>
      <c r="D62" t="s">
        <v>1</v>
      </c>
    </row>
    <row r="63" spans="1:4" x14ac:dyDescent="0.25">
      <c r="A63" s="1">
        <v>0.43941411451398099</v>
      </c>
      <c r="B63" s="1" t="s">
        <v>11</v>
      </c>
      <c r="C63" t="s">
        <v>3</v>
      </c>
      <c r="D63" t="s">
        <v>2</v>
      </c>
    </row>
    <row r="64" spans="1:4" x14ac:dyDescent="0.25">
      <c r="A64" s="1">
        <v>0.117177097203728</v>
      </c>
      <c r="B64" s="1" t="s">
        <v>26</v>
      </c>
      <c r="C64" t="s">
        <v>3</v>
      </c>
      <c r="D64" t="s">
        <v>2</v>
      </c>
    </row>
    <row r="65" spans="1:4" x14ac:dyDescent="0.25">
      <c r="A65" s="1">
        <v>0.15446071904127801</v>
      </c>
      <c r="B65" s="1" t="s">
        <v>4</v>
      </c>
      <c r="C65" t="s">
        <v>3</v>
      </c>
      <c r="D65" t="s">
        <v>2</v>
      </c>
    </row>
    <row r="66" spans="1:4" x14ac:dyDescent="0.25">
      <c r="A66" s="1">
        <v>0.125832223701731</v>
      </c>
      <c r="B66" s="1" t="s">
        <v>27</v>
      </c>
      <c r="C66" t="s">
        <v>3</v>
      </c>
      <c r="D66" t="s">
        <v>2</v>
      </c>
    </row>
    <row r="67" spans="1:4" x14ac:dyDescent="0.25">
      <c r="A67" s="1">
        <v>0.18774966711051899</v>
      </c>
      <c r="B67" s="1" t="s">
        <v>25</v>
      </c>
      <c r="C67" t="s">
        <v>3</v>
      </c>
      <c r="D67" t="s">
        <v>2</v>
      </c>
    </row>
    <row r="68" spans="1:4" x14ac:dyDescent="0.25">
      <c r="A68" s="1">
        <v>0.29161118508655098</v>
      </c>
      <c r="B68" s="1" t="s">
        <v>18</v>
      </c>
      <c r="C68" t="s">
        <v>3</v>
      </c>
      <c r="D68" t="s">
        <v>2</v>
      </c>
    </row>
    <row r="69" spans="1:4" x14ac:dyDescent="0.25">
      <c r="A69" s="1">
        <v>0.10585885486018599</v>
      </c>
      <c r="B69" s="1" t="s">
        <v>28</v>
      </c>
      <c r="C69" t="s">
        <v>3</v>
      </c>
      <c r="D69" t="s">
        <v>2</v>
      </c>
    </row>
    <row r="70" spans="1:4" x14ac:dyDescent="0.25">
      <c r="A70" s="1">
        <v>0.101198402130492</v>
      </c>
      <c r="B70" s="1" t="s">
        <v>36</v>
      </c>
      <c r="C70" t="s">
        <v>3</v>
      </c>
      <c r="D70" t="s">
        <v>2</v>
      </c>
    </row>
    <row r="71" spans="1:4" x14ac:dyDescent="0.25">
      <c r="A71" s="1">
        <v>0.15446071904127801</v>
      </c>
      <c r="B71" s="1" t="s">
        <v>22</v>
      </c>
      <c r="C71" t="s">
        <v>3</v>
      </c>
      <c r="D71" t="s">
        <v>2</v>
      </c>
    </row>
    <row r="72" spans="1:4" x14ac:dyDescent="0.25">
      <c r="A72" s="1">
        <v>0.105193075898801</v>
      </c>
      <c r="B72" s="1" t="s">
        <v>30</v>
      </c>
      <c r="C72" t="s">
        <v>3</v>
      </c>
      <c r="D72" t="s">
        <v>2</v>
      </c>
    </row>
    <row r="73" spans="1:4" x14ac:dyDescent="0.25">
      <c r="A73" s="1">
        <v>0.125832223701731</v>
      </c>
      <c r="B73" s="1" t="s">
        <v>24</v>
      </c>
      <c r="C73" t="s">
        <v>3</v>
      </c>
      <c r="D73" t="s">
        <v>2</v>
      </c>
    </row>
    <row r="74" spans="1:4" x14ac:dyDescent="0.25">
      <c r="A74" s="1">
        <v>0.199733688415446</v>
      </c>
      <c r="B74" s="1" t="s">
        <v>31</v>
      </c>
      <c r="C74" t="s">
        <v>3</v>
      </c>
      <c r="D74" t="s">
        <v>2</v>
      </c>
    </row>
    <row r="75" spans="1:4" x14ac:dyDescent="0.25">
      <c r="A75" s="1">
        <v>0.44166666666666599</v>
      </c>
      <c r="B75" s="1" t="s">
        <v>37</v>
      </c>
      <c r="C75" t="s">
        <v>5</v>
      </c>
      <c r="D75" t="s">
        <v>1</v>
      </c>
    </row>
    <row r="76" spans="1:4" x14ac:dyDescent="0.25">
      <c r="A76" s="1">
        <v>0.38333333333333303</v>
      </c>
      <c r="B76" s="1" t="s">
        <v>16</v>
      </c>
      <c r="C76" t="s">
        <v>5</v>
      </c>
      <c r="D76" t="s">
        <v>1</v>
      </c>
    </row>
    <row r="77" spans="1:4" x14ac:dyDescent="0.25">
      <c r="A77" s="1">
        <v>0.3125</v>
      </c>
      <c r="B77" s="1" t="s">
        <v>12</v>
      </c>
      <c r="C77" t="s">
        <v>5</v>
      </c>
      <c r="D77" t="s">
        <v>1</v>
      </c>
    </row>
    <row r="78" spans="1:4" x14ac:dyDescent="0.25">
      <c r="A78" s="1">
        <v>0.1125</v>
      </c>
      <c r="B78" s="1" t="s">
        <v>17</v>
      </c>
      <c r="C78" t="s">
        <v>5</v>
      </c>
      <c r="D78" t="s">
        <v>1</v>
      </c>
    </row>
    <row r="79" spans="1:4" x14ac:dyDescent="0.25">
      <c r="A79" s="1">
        <v>0.50833333333333297</v>
      </c>
      <c r="B79" s="1" t="s">
        <v>11</v>
      </c>
      <c r="C79" t="s">
        <v>5</v>
      </c>
      <c r="D79" t="s">
        <v>1</v>
      </c>
    </row>
    <row r="80" spans="1:4" x14ac:dyDescent="0.25">
      <c r="A80" s="1">
        <v>0.116666666666666</v>
      </c>
      <c r="B80" s="1" t="s">
        <v>10</v>
      </c>
      <c r="C80" t="s">
        <v>5</v>
      </c>
      <c r="D80" t="s">
        <v>1</v>
      </c>
    </row>
    <row r="81" spans="1:4" x14ac:dyDescent="0.25">
      <c r="A81" s="1">
        <v>0.120833333333333</v>
      </c>
      <c r="B81" s="1" t="s">
        <v>8</v>
      </c>
      <c r="C81" t="s">
        <v>5</v>
      </c>
      <c r="D81" t="s">
        <v>1</v>
      </c>
    </row>
    <row r="82" spans="1:4" x14ac:dyDescent="0.25">
      <c r="A82" s="1">
        <v>0.1</v>
      </c>
      <c r="B82" s="1" t="s">
        <v>32</v>
      </c>
      <c r="C82" t="s">
        <v>5</v>
      </c>
      <c r="D82" t="s">
        <v>1</v>
      </c>
    </row>
    <row r="83" spans="1:4" x14ac:dyDescent="0.25">
      <c r="A83" s="1">
        <v>0.1</v>
      </c>
      <c r="B83" s="1" t="s">
        <v>33</v>
      </c>
      <c r="C83" t="s">
        <v>5</v>
      </c>
      <c r="D83" t="s">
        <v>1</v>
      </c>
    </row>
    <row r="84" spans="1:4" x14ac:dyDescent="0.25">
      <c r="A84" s="1">
        <v>0.37083333333333302</v>
      </c>
      <c r="B84" s="1" t="s">
        <v>15</v>
      </c>
      <c r="C84" t="s">
        <v>5</v>
      </c>
      <c r="D84" t="s">
        <v>1</v>
      </c>
    </row>
    <row r="85" spans="1:4" x14ac:dyDescent="0.25">
      <c r="A85" s="1">
        <v>0.241666666666666</v>
      </c>
      <c r="B85" s="1" t="s">
        <v>21</v>
      </c>
      <c r="C85" t="s">
        <v>5</v>
      </c>
      <c r="D85" t="s">
        <v>1</v>
      </c>
    </row>
    <row r="86" spans="1:4" x14ac:dyDescent="0.25">
      <c r="A86" s="1">
        <v>0.204166666666666</v>
      </c>
      <c r="B86" s="1" t="s">
        <v>35</v>
      </c>
      <c r="C86" t="s">
        <v>5</v>
      </c>
      <c r="D86" t="s">
        <v>1</v>
      </c>
    </row>
    <row r="87" spans="1:4" x14ac:dyDescent="0.25">
      <c r="A87" s="1">
        <v>0.241666666666666</v>
      </c>
      <c r="B87" s="1" t="s">
        <v>20</v>
      </c>
      <c r="C87" t="s">
        <v>5</v>
      </c>
      <c r="D87" t="s">
        <v>1</v>
      </c>
    </row>
    <row r="88" spans="1:4" x14ac:dyDescent="0.25">
      <c r="A88" s="1">
        <v>0.18333333333333299</v>
      </c>
      <c r="B88" s="1" t="s">
        <v>38</v>
      </c>
      <c r="C88" t="s">
        <v>5</v>
      </c>
      <c r="D88" t="s">
        <v>1</v>
      </c>
    </row>
    <row r="89" spans="1:4" x14ac:dyDescent="0.25">
      <c r="A89" s="1">
        <v>0.16666666666666599</v>
      </c>
      <c r="B89" s="1" t="s">
        <v>56</v>
      </c>
      <c r="C89" t="s">
        <v>5</v>
      </c>
      <c r="D89" t="s">
        <v>1</v>
      </c>
    </row>
    <row r="90" spans="1:4" x14ac:dyDescent="0.25">
      <c r="A90" s="1">
        <v>0.16666666666666599</v>
      </c>
      <c r="B90" s="1" t="s">
        <v>57</v>
      </c>
      <c r="C90" t="s">
        <v>5</v>
      </c>
      <c r="D90" t="s">
        <v>1</v>
      </c>
    </row>
    <row r="91" spans="1:4" x14ac:dyDescent="0.25">
      <c r="A91" s="1">
        <v>0.12916666666666601</v>
      </c>
      <c r="B91" s="1" t="s">
        <v>58</v>
      </c>
      <c r="C91" t="s">
        <v>5</v>
      </c>
      <c r="D91" t="s">
        <v>1</v>
      </c>
    </row>
    <row r="92" spans="1:4" x14ac:dyDescent="0.25">
      <c r="A92" s="1">
        <v>0.170833333333333</v>
      </c>
      <c r="B92" s="1" t="s">
        <v>45</v>
      </c>
      <c r="C92" t="s">
        <v>5</v>
      </c>
      <c r="D92" t="s">
        <v>1</v>
      </c>
    </row>
    <row r="93" spans="1:4" x14ac:dyDescent="0.25">
      <c r="A93" s="1">
        <v>0.18333333333333299</v>
      </c>
      <c r="B93" s="1" t="s">
        <v>46</v>
      </c>
      <c r="C93" t="s">
        <v>5</v>
      </c>
      <c r="D93" t="s">
        <v>1</v>
      </c>
    </row>
    <row r="94" spans="1:4" x14ac:dyDescent="0.25">
      <c r="A94" s="1">
        <v>0.1875</v>
      </c>
      <c r="B94" s="1" t="s">
        <v>59</v>
      </c>
      <c r="C94" t="s">
        <v>5</v>
      </c>
      <c r="D94" t="s">
        <v>1</v>
      </c>
    </row>
    <row r="95" spans="1:4" x14ac:dyDescent="0.25">
      <c r="A95" s="1">
        <v>0.116666666666666</v>
      </c>
      <c r="B95" s="1" t="s">
        <v>60</v>
      </c>
      <c r="C95" t="s">
        <v>5</v>
      </c>
      <c r="D95" t="s">
        <v>1</v>
      </c>
    </row>
    <row r="96" spans="1:4" x14ac:dyDescent="0.25">
      <c r="A96" s="1">
        <v>0.1125</v>
      </c>
      <c r="B96" s="1" t="s">
        <v>61</v>
      </c>
      <c r="C96" t="s">
        <v>5</v>
      </c>
      <c r="D96" t="s">
        <v>1</v>
      </c>
    </row>
    <row r="97" spans="1:4" x14ac:dyDescent="0.25">
      <c r="A97" s="1">
        <v>0.10416666666666601</v>
      </c>
      <c r="B97" s="1" t="s">
        <v>62</v>
      </c>
      <c r="C97" t="s">
        <v>5</v>
      </c>
      <c r="D97" t="s">
        <v>1</v>
      </c>
    </row>
    <row r="98" spans="1:4" x14ac:dyDescent="0.25">
      <c r="A98" s="1">
        <v>0.116666666666666</v>
      </c>
      <c r="B98" s="1" t="s">
        <v>63</v>
      </c>
      <c r="C98" t="s">
        <v>5</v>
      </c>
      <c r="D98" t="s">
        <v>1</v>
      </c>
    </row>
    <row r="99" spans="1:4" x14ac:dyDescent="0.25">
      <c r="A99" s="1">
        <v>0.1125</v>
      </c>
      <c r="B99" s="1" t="s">
        <v>64</v>
      </c>
      <c r="C99" t="s">
        <v>5</v>
      </c>
      <c r="D99" t="s">
        <v>1</v>
      </c>
    </row>
    <row r="100" spans="1:4" x14ac:dyDescent="0.25">
      <c r="A100" s="1">
        <v>0.23375000000000001</v>
      </c>
      <c r="B100" s="1" t="s">
        <v>39</v>
      </c>
      <c r="C100" t="s">
        <v>5</v>
      </c>
      <c r="D100" t="s">
        <v>2</v>
      </c>
    </row>
    <row r="101" spans="1:4" x14ac:dyDescent="0.25">
      <c r="A101" s="1">
        <v>0.16791666666666599</v>
      </c>
      <c r="B101" s="1" t="s">
        <v>31</v>
      </c>
      <c r="C101" t="s">
        <v>5</v>
      </c>
      <c r="D101" t="s">
        <v>2</v>
      </c>
    </row>
    <row r="102" spans="1:4" x14ac:dyDescent="0.25">
      <c r="A102" s="1">
        <v>0.105</v>
      </c>
      <c r="B102" s="1" t="s">
        <v>34</v>
      </c>
      <c r="C102" t="s">
        <v>5</v>
      </c>
      <c r="D102" t="s">
        <v>2</v>
      </c>
    </row>
    <row r="103" spans="1:4" x14ac:dyDescent="0.25">
      <c r="A103" s="1">
        <v>0.20749999999999999</v>
      </c>
      <c r="B103" s="1" t="s">
        <v>40</v>
      </c>
      <c r="C103" t="s">
        <v>5</v>
      </c>
      <c r="D103" t="s">
        <v>2</v>
      </c>
    </row>
    <row r="104" spans="1:4" x14ac:dyDescent="0.25">
      <c r="A104" s="1">
        <v>0.147916666666666</v>
      </c>
      <c r="B104" s="1" t="s">
        <v>24</v>
      </c>
      <c r="C104" t="s">
        <v>5</v>
      </c>
      <c r="D104" t="s">
        <v>2</v>
      </c>
    </row>
    <row r="105" spans="1:4" x14ac:dyDescent="0.25">
      <c r="A105" s="1">
        <v>0.23583333333333301</v>
      </c>
      <c r="B105" s="1" t="s">
        <v>4</v>
      </c>
      <c r="C105" t="s">
        <v>5</v>
      </c>
      <c r="D105" t="s">
        <v>2</v>
      </c>
    </row>
    <row r="106" spans="1:4" x14ac:dyDescent="0.25">
      <c r="A106" s="1">
        <v>0.141666666666666</v>
      </c>
      <c r="B106" s="1" t="s">
        <v>11</v>
      </c>
      <c r="C106" t="s">
        <v>5</v>
      </c>
      <c r="D106" t="s">
        <v>2</v>
      </c>
    </row>
    <row r="107" spans="1:4" x14ac:dyDescent="0.25">
      <c r="A107" s="1">
        <v>0.24666666666666601</v>
      </c>
      <c r="B107" s="1" t="s">
        <v>41</v>
      </c>
      <c r="C107" t="s">
        <v>5</v>
      </c>
      <c r="D107" t="s">
        <v>2</v>
      </c>
    </row>
    <row r="108" spans="1:4" x14ac:dyDescent="0.25">
      <c r="A108" s="1">
        <v>0.144166666666666</v>
      </c>
      <c r="B108" s="1" t="s">
        <v>38</v>
      </c>
      <c r="C108" t="s">
        <v>5</v>
      </c>
      <c r="D108" t="s">
        <v>2</v>
      </c>
    </row>
    <row r="109" spans="1:4" x14ac:dyDescent="0.25">
      <c r="A109" s="1">
        <v>0.10625</v>
      </c>
      <c r="B109" s="1" t="s">
        <v>30</v>
      </c>
      <c r="C109" t="s">
        <v>5</v>
      </c>
      <c r="D109" t="s">
        <v>2</v>
      </c>
    </row>
    <row r="110" spans="1:4" x14ac:dyDescent="0.25">
      <c r="A110" s="1">
        <v>0.13541666666666599</v>
      </c>
      <c r="B110" s="1" t="s">
        <v>22</v>
      </c>
      <c r="C110" t="s">
        <v>5</v>
      </c>
      <c r="D110" t="s">
        <v>2</v>
      </c>
    </row>
    <row r="111" spans="1:4" x14ac:dyDescent="0.25">
      <c r="A111" s="1">
        <v>0.10958333333333301</v>
      </c>
      <c r="B111" s="1" t="s">
        <v>28</v>
      </c>
      <c r="C111" t="s">
        <v>5</v>
      </c>
      <c r="D111" t="s">
        <v>2</v>
      </c>
    </row>
    <row r="112" spans="1:4" x14ac:dyDescent="0.25">
      <c r="A112" s="1">
        <v>0.1075</v>
      </c>
      <c r="B112" s="1" t="s">
        <v>19</v>
      </c>
      <c r="C112" t="s">
        <v>5</v>
      </c>
      <c r="D112" t="s">
        <v>2</v>
      </c>
    </row>
    <row r="113" spans="1:4" x14ac:dyDescent="0.25">
      <c r="A113" s="1">
        <v>0.17041666666666599</v>
      </c>
      <c r="B113" s="1" t="s">
        <v>37</v>
      </c>
      <c r="C113" t="s">
        <v>5</v>
      </c>
      <c r="D113" t="s">
        <v>2</v>
      </c>
    </row>
    <row r="114" spans="1:4" x14ac:dyDescent="0.25">
      <c r="A114" s="1">
        <v>0.116666666666666</v>
      </c>
      <c r="B114" s="1" t="s">
        <v>36</v>
      </c>
      <c r="C114" t="s">
        <v>5</v>
      </c>
      <c r="D114" t="s">
        <v>2</v>
      </c>
    </row>
    <row r="115" spans="1:4" x14ac:dyDescent="0.25">
      <c r="A115" s="1">
        <v>0.117083333333333</v>
      </c>
      <c r="B115" s="1" t="s">
        <v>23</v>
      </c>
      <c r="C115" t="s">
        <v>5</v>
      </c>
      <c r="D115" t="s">
        <v>2</v>
      </c>
    </row>
    <row r="116" spans="1:4" x14ac:dyDescent="0.25">
      <c r="A116" s="1">
        <v>0.13</v>
      </c>
      <c r="B116" s="1" t="s">
        <v>27</v>
      </c>
      <c r="C116" t="s">
        <v>5</v>
      </c>
      <c r="D116" t="s">
        <v>2</v>
      </c>
    </row>
    <row r="117" spans="1:4" x14ac:dyDescent="0.25">
      <c r="A117" s="1">
        <v>0.18875</v>
      </c>
      <c r="B117" s="1" t="s">
        <v>26</v>
      </c>
      <c r="C117" t="s">
        <v>5</v>
      </c>
      <c r="D117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331F-71C5-4542-9833-7386908BE7A8}">
  <dimension ref="A1:D117"/>
  <sheetViews>
    <sheetView showGridLines="0" tabSelected="1" topLeftCell="A97" workbookViewId="0">
      <selection activeCell="D118" sqref="D118"/>
    </sheetView>
  </sheetViews>
  <sheetFormatPr defaultRowHeight="13.8" x14ac:dyDescent="0.25"/>
  <cols>
    <col min="2" max="2" width="34" bestFit="1" customWidth="1"/>
  </cols>
  <sheetData>
    <row r="1" spans="1:4" x14ac:dyDescent="0.25">
      <c r="A1" s="7">
        <v>0.157123834886817</v>
      </c>
      <c r="B1" s="7" t="s">
        <v>95</v>
      </c>
      <c r="C1" s="8" t="s">
        <v>0</v>
      </c>
      <c r="D1" t="s">
        <v>2</v>
      </c>
    </row>
    <row r="2" spans="1:4" x14ac:dyDescent="0.25">
      <c r="A2" s="7">
        <v>0.15446071904127801</v>
      </c>
      <c r="B2" s="7" t="s">
        <v>4</v>
      </c>
      <c r="C2" s="8" t="s">
        <v>3</v>
      </c>
      <c r="D2" t="s">
        <v>2</v>
      </c>
    </row>
    <row r="3" spans="1:4" x14ac:dyDescent="0.25">
      <c r="A3" s="7">
        <v>0.23583333333333301</v>
      </c>
      <c r="B3" s="7" t="s">
        <v>4</v>
      </c>
      <c r="C3" s="8" t="s">
        <v>5</v>
      </c>
      <c r="D3" t="s">
        <v>2</v>
      </c>
    </row>
    <row r="4" spans="1:4" x14ac:dyDescent="0.25">
      <c r="A4" s="1">
        <v>0.14569536423841001</v>
      </c>
      <c r="B4" s="1" t="s">
        <v>32</v>
      </c>
      <c r="C4" t="s">
        <v>3</v>
      </c>
      <c r="D4" t="s">
        <v>1</v>
      </c>
    </row>
    <row r="5" spans="1:4" x14ac:dyDescent="0.25">
      <c r="A5" s="1">
        <v>0.1</v>
      </c>
      <c r="B5" s="1" t="s">
        <v>32</v>
      </c>
      <c r="C5" t="s">
        <v>5</v>
      </c>
      <c r="D5" t="s">
        <v>1</v>
      </c>
    </row>
    <row r="6" spans="1:4" x14ac:dyDescent="0.25">
      <c r="A6" s="3">
        <v>0.119205298013245</v>
      </c>
      <c r="B6" s="3" t="s">
        <v>21</v>
      </c>
      <c r="C6" s="4" t="s">
        <v>0</v>
      </c>
      <c r="D6" t="s">
        <v>1</v>
      </c>
    </row>
    <row r="7" spans="1:4" x14ac:dyDescent="0.25">
      <c r="A7" s="3">
        <v>0.19867549668874099</v>
      </c>
      <c r="B7" s="3" t="s">
        <v>21</v>
      </c>
      <c r="C7" s="4" t="s">
        <v>3</v>
      </c>
      <c r="D7" t="s">
        <v>1</v>
      </c>
    </row>
    <row r="8" spans="1:4" x14ac:dyDescent="0.25">
      <c r="A8" s="3">
        <v>0.241666666666666</v>
      </c>
      <c r="B8" s="3" t="s">
        <v>21</v>
      </c>
      <c r="C8" s="4" t="s">
        <v>5</v>
      </c>
      <c r="D8" t="s">
        <v>1</v>
      </c>
    </row>
    <row r="9" spans="1:4" x14ac:dyDescent="0.25">
      <c r="A9" s="1">
        <v>0.1125</v>
      </c>
      <c r="B9" s="1" t="s">
        <v>61</v>
      </c>
      <c r="C9" t="s">
        <v>5</v>
      </c>
      <c r="D9" t="s">
        <v>1</v>
      </c>
    </row>
    <row r="10" spans="1:4" x14ac:dyDescent="0.25">
      <c r="A10" s="1">
        <v>0.158940397350993</v>
      </c>
      <c r="B10" s="1" t="s">
        <v>52</v>
      </c>
      <c r="C10" t="s">
        <v>3</v>
      </c>
      <c r="D10" t="s">
        <v>1</v>
      </c>
    </row>
    <row r="11" spans="1:4" x14ac:dyDescent="0.25">
      <c r="A11" s="1">
        <v>0.116666666666666</v>
      </c>
      <c r="B11" s="1" t="s">
        <v>60</v>
      </c>
      <c r="C11" t="s">
        <v>5</v>
      </c>
      <c r="D11" t="s">
        <v>1</v>
      </c>
    </row>
    <row r="12" spans="1:4" x14ac:dyDescent="0.25">
      <c r="A12" s="3">
        <v>0.15231788079470199</v>
      </c>
      <c r="B12" s="3" t="s">
        <v>20</v>
      </c>
      <c r="C12" s="4" t="s">
        <v>0</v>
      </c>
      <c r="D12" t="s">
        <v>1</v>
      </c>
    </row>
    <row r="13" spans="1:4" x14ac:dyDescent="0.25">
      <c r="A13" s="3">
        <v>0.22516556291390699</v>
      </c>
      <c r="B13" s="3" t="s">
        <v>20</v>
      </c>
      <c r="C13" s="4" t="s">
        <v>3</v>
      </c>
      <c r="D13" t="s">
        <v>1</v>
      </c>
    </row>
    <row r="14" spans="1:4" x14ac:dyDescent="0.25">
      <c r="A14" s="3">
        <v>0.241666666666666</v>
      </c>
      <c r="B14" s="3" t="s">
        <v>20</v>
      </c>
      <c r="C14" s="4" t="s">
        <v>5</v>
      </c>
      <c r="D14" t="s">
        <v>1</v>
      </c>
    </row>
    <row r="15" spans="1:4" x14ac:dyDescent="0.25">
      <c r="A15" s="1">
        <v>0.185430463576158</v>
      </c>
      <c r="B15" s="1" t="s">
        <v>50</v>
      </c>
      <c r="C15" t="s">
        <v>3</v>
      </c>
      <c r="D15" t="s">
        <v>1</v>
      </c>
    </row>
    <row r="16" spans="1:4" x14ac:dyDescent="0.25">
      <c r="A16" s="1">
        <v>0.116666666666666</v>
      </c>
      <c r="B16" s="1" t="s">
        <v>63</v>
      </c>
      <c r="C16" t="s">
        <v>5</v>
      </c>
      <c r="D16" t="s">
        <v>1</v>
      </c>
    </row>
    <row r="17" spans="1:4" x14ac:dyDescent="0.25">
      <c r="A17" s="1">
        <v>0.119205298013245</v>
      </c>
      <c r="B17" s="1" t="s">
        <v>34</v>
      </c>
      <c r="C17" t="s">
        <v>3</v>
      </c>
      <c r="D17" t="s">
        <v>1</v>
      </c>
    </row>
    <row r="18" spans="1:4" x14ac:dyDescent="0.25">
      <c r="A18" s="1">
        <v>0.105</v>
      </c>
      <c r="B18" s="1" t="s">
        <v>34</v>
      </c>
      <c r="C18" t="s">
        <v>5</v>
      </c>
      <c r="D18" t="s">
        <v>2</v>
      </c>
    </row>
    <row r="19" spans="1:4" x14ac:dyDescent="0.25">
      <c r="A19" s="1">
        <v>0.119205298013245</v>
      </c>
      <c r="B19" s="1" t="s">
        <v>53</v>
      </c>
      <c r="C19" t="s">
        <v>3</v>
      </c>
      <c r="D19" t="s">
        <v>1</v>
      </c>
    </row>
    <row r="20" spans="1:4" x14ac:dyDescent="0.25">
      <c r="A20" s="1">
        <v>0.13245033112582699</v>
      </c>
      <c r="B20" s="1" t="s">
        <v>13</v>
      </c>
      <c r="C20" t="s">
        <v>0</v>
      </c>
      <c r="D20" t="s">
        <v>1</v>
      </c>
    </row>
    <row r="21" spans="1:4" x14ac:dyDescent="0.25">
      <c r="A21" s="1">
        <v>0.17218543046357601</v>
      </c>
      <c r="B21" s="1" t="s">
        <v>13</v>
      </c>
      <c r="C21" t="s">
        <v>3</v>
      </c>
      <c r="D21" t="s">
        <v>1</v>
      </c>
    </row>
    <row r="22" spans="1:4" x14ac:dyDescent="0.25">
      <c r="A22" s="3">
        <v>0.118508655126498</v>
      </c>
      <c r="B22" s="3" t="s">
        <v>30</v>
      </c>
      <c r="C22" s="4" t="s">
        <v>0</v>
      </c>
      <c r="D22" s="4" t="s">
        <v>2</v>
      </c>
    </row>
    <row r="23" spans="1:4" x14ac:dyDescent="0.25">
      <c r="A23" s="3">
        <v>0.105193075898801</v>
      </c>
      <c r="B23" s="3" t="s">
        <v>30</v>
      </c>
      <c r="C23" s="4" t="s">
        <v>3</v>
      </c>
      <c r="D23" s="4" t="s">
        <v>2</v>
      </c>
    </row>
    <row r="24" spans="1:4" x14ac:dyDescent="0.25">
      <c r="A24" s="3">
        <v>0.10625</v>
      </c>
      <c r="B24" s="3" t="s">
        <v>30</v>
      </c>
      <c r="C24" s="4" t="s">
        <v>5</v>
      </c>
      <c r="D24" s="4" t="s">
        <v>2</v>
      </c>
    </row>
    <row r="25" spans="1:4" x14ac:dyDescent="0.25">
      <c r="A25" s="3">
        <v>0.115179760319573</v>
      </c>
      <c r="B25" s="3" t="s">
        <v>28</v>
      </c>
      <c r="C25" s="4" t="s">
        <v>0</v>
      </c>
      <c r="D25" s="4" t="s">
        <v>2</v>
      </c>
    </row>
    <row r="26" spans="1:4" x14ac:dyDescent="0.25">
      <c r="A26" s="3">
        <v>0.10585885486018599</v>
      </c>
      <c r="B26" s="3" t="s">
        <v>28</v>
      </c>
      <c r="C26" s="4" t="s">
        <v>3</v>
      </c>
      <c r="D26" s="4" t="s">
        <v>2</v>
      </c>
    </row>
    <row r="27" spans="1:4" x14ac:dyDescent="0.25">
      <c r="A27" s="3">
        <v>0.10958333333333301</v>
      </c>
      <c r="B27" s="3" t="s">
        <v>28</v>
      </c>
      <c r="C27" s="4" t="s">
        <v>5</v>
      </c>
      <c r="D27" s="4" t="s">
        <v>2</v>
      </c>
    </row>
    <row r="28" spans="1:4" x14ac:dyDescent="0.25">
      <c r="A28" s="1">
        <v>0.103195739014647</v>
      </c>
      <c r="B28" s="1" t="s">
        <v>29</v>
      </c>
      <c r="C28" t="s">
        <v>0</v>
      </c>
      <c r="D28" t="s">
        <v>2</v>
      </c>
    </row>
    <row r="29" spans="1:4" x14ac:dyDescent="0.25">
      <c r="A29" s="7">
        <v>0.158940397350993</v>
      </c>
      <c r="B29" s="7" t="s">
        <v>15</v>
      </c>
      <c r="C29" s="8" t="s">
        <v>0</v>
      </c>
      <c r="D29" t="s">
        <v>1</v>
      </c>
    </row>
    <row r="30" spans="1:4" x14ac:dyDescent="0.25">
      <c r="A30" s="7">
        <v>0.12582781456953601</v>
      </c>
      <c r="B30" s="7" t="s">
        <v>15</v>
      </c>
      <c r="C30" s="8" t="s">
        <v>3</v>
      </c>
      <c r="D30" t="s">
        <v>1</v>
      </c>
    </row>
    <row r="31" spans="1:4" x14ac:dyDescent="0.25">
      <c r="A31" s="7">
        <v>0.37083333333333302</v>
      </c>
      <c r="B31" s="7" t="s">
        <v>15</v>
      </c>
      <c r="C31" s="8" t="s">
        <v>5</v>
      </c>
      <c r="D31" t="s">
        <v>1</v>
      </c>
    </row>
    <row r="32" spans="1:4" x14ac:dyDescent="0.25">
      <c r="A32" s="3">
        <v>0.109853528628495</v>
      </c>
      <c r="B32" s="3" t="s">
        <v>27</v>
      </c>
      <c r="C32" s="4" t="s">
        <v>0</v>
      </c>
      <c r="D32" t="s">
        <v>2</v>
      </c>
    </row>
    <row r="33" spans="1:4" x14ac:dyDescent="0.25">
      <c r="A33" s="3">
        <v>0.125832223701731</v>
      </c>
      <c r="B33" s="3" t="s">
        <v>27</v>
      </c>
      <c r="C33" s="4" t="s">
        <v>3</v>
      </c>
      <c r="D33" t="s">
        <v>2</v>
      </c>
    </row>
    <row r="34" spans="1:4" x14ac:dyDescent="0.25">
      <c r="A34" s="3">
        <v>0.13</v>
      </c>
      <c r="B34" s="3" t="s">
        <v>27</v>
      </c>
      <c r="C34" s="4" t="s">
        <v>5</v>
      </c>
      <c r="D34" t="s">
        <v>2</v>
      </c>
    </row>
    <row r="35" spans="1:4" x14ac:dyDescent="0.25">
      <c r="A35" s="1">
        <v>0.20749999999999999</v>
      </c>
      <c r="B35" s="1" t="s">
        <v>40</v>
      </c>
      <c r="C35" t="s">
        <v>5</v>
      </c>
      <c r="D35" t="s">
        <v>2</v>
      </c>
    </row>
    <row r="36" spans="1:4" x14ac:dyDescent="0.25">
      <c r="A36" s="5">
        <v>0.19867549668874099</v>
      </c>
      <c r="B36" s="5" t="s">
        <v>8</v>
      </c>
      <c r="C36" s="6" t="s">
        <v>0</v>
      </c>
      <c r="D36" s="6" t="s">
        <v>1</v>
      </c>
    </row>
    <row r="37" spans="1:4" x14ac:dyDescent="0.25">
      <c r="A37" s="5">
        <v>0.158940397350993</v>
      </c>
      <c r="B37" s="5" t="s">
        <v>8</v>
      </c>
      <c r="C37" s="6" t="s">
        <v>3</v>
      </c>
      <c r="D37" s="6" t="s">
        <v>1</v>
      </c>
    </row>
    <row r="38" spans="1:4" x14ac:dyDescent="0.25">
      <c r="A38" s="5">
        <v>0.120833333333333</v>
      </c>
      <c r="B38" s="5" t="s">
        <v>8</v>
      </c>
      <c r="C38" s="6" t="s">
        <v>5</v>
      </c>
      <c r="D38" s="6" t="s">
        <v>1</v>
      </c>
    </row>
    <row r="39" spans="1:4" x14ac:dyDescent="0.25">
      <c r="A39" s="5">
        <v>0.23841059602649001</v>
      </c>
      <c r="B39" s="5" t="s">
        <v>10</v>
      </c>
      <c r="C39" s="6" t="s">
        <v>0</v>
      </c>
      <c r="D39" s="6" t="s">
        <v>1</v>
      </c>
    </row>
    <row r="40" spans="1:4" x14ac:dyDescent="0.25">
      <c r="A40" s="5">
        <v>0.158940397350993</v>
      </c>
      <c r="B40" s="5" t="s">
        <v>10</v>
      </c>
      <c r="C40" s="6" t="s">
        <v>3</v>
      </c>
      <c r="D40" s="6" t="s">
        <v>1</v>
      </c>
    </row>
    <row r="41" spans="1:4" x14ac:dyDescent="0.25">
      <c r="A41" s="5">
        <v>0.116666666666666</v>
      </c>
      <c r="B41" s="5" t="s">
        <v>10</v>
      </c>
      <c r="C41" s="6" t="s">
        <v>5</v>
      </c>
      <c r="D41" s="6" t="s">
        <v>1</v>
      </c>
    </row>
    <row r="42" spans="1:4" x14ac:dyDescent="0.25">
      <c r="A42" s="1">
        <v>0.105960264900662</v>
      </c>
      <c r="B42" s="1" t="s">
        <v>49</v>
      </c>
      <c r="C42" t="s">
        <v>3</v>
      </c>
      <c r="D42" t="s">
        <v>1</v>
      </c>
    </row>
    <row r="43" spans="1:4" x14ac:dyDescent="0.25">
      <c r="A43" s="1">
        <v>0.105960264900662</v>
      </c>
      <c r="B43" s="1" t="s">
        <v>44</v>
      </c>
      <c r="C43" t="s">
        <v>0</v>
      </c>
      <c r="D43" t="s">
        <v>1</v>
      </c>
    </row>
    <row r="44" spans="1:4" x14ac:dyDescent="0.25">
      <c r="A44" s="1">
        <v>0.17880794701986699</v>
      </c>
      <c r="B44" s="1" t="s">
        <v>14</v>
      </c>
      <c r="C44" t="s">
        <v>0</v>
      </c>
      <c r="D44" t="s">
        <v>1</v>
      </c>
    </row>
    <row r="45" spans="1:4" x14ac:dyDescent="0.25">
      <c r="A45" s="1">
        <v>0.205298013245033</v>
      </c>
      <c r="B45" s="1" t="s">
        <v>14</v>
      </c>
      <c r="C45" t="s">
        <v>3</v>
      </c>
      <c r="D45" t="s">
        <v>1</v>
      </c>
    </row>
    <row r="46" spans="1:4" x14ac:dyDescent="0.25">
      <c r="A46" s="1">
        <v>0.112582781456953</v>
      </c>
      <c r="B46" s="1" t="s">
        <v>48</v>
      </c>
      <c r="C46" t="s">
        <v>3</v>
      </c>
      <c r="D46" t="s">
        <v>1</v>
      </c>
    </row>
    <row r="47" spans="1:4" x14ac:dyDescent="0.25">
      <c r="A47" s="1">
        <v>0.139072847682119</v>
      </c>
      <c r="B47" s="1" t="s">
        <v>33</v>
      </c>
      <c r="C47" t="s">
        <v>3</v>
      </c>
      <c r="D47" t="s">
        <v>1</v>
      </c>
    </row>
    <row r="48" spans="1:4" x14ac:dyDescent="0.25">
      <c r="A48" s="1">
        <v>0.1</v>
      </c>
      <c r="B48" s="1" t="s">
        <v>33</v>
      </c>
      <c r="C48" t="s">
        <v>5</v>
      </c>
      <c r="D48" t="s">
        <v>1</v>
      </c>
    </row>
    <row r="49" spans="1:4" x14ac:dyDescent="0.25">
      <c r="A49" s="1">
        <v>0.105960264900662</v>
      </c>
      <c r="B49" s="1" t="s">
        <v>19</v>
      </c>
      <c r="C49" t="s">
        <v>0</v>
      </c>
      <c r="D49" t="s">
        <v>1</v>
      </c>
    </row>
    <row r="50" spans="1:4" x14ac:dyDescent="0.25">
      <c r="A50" s="1">
        <v>0.1075</v>
      </c>
      <c r="B50" s="1" t="s">
        <v>19</v>
      </c>
      <c r="C50" t="s">
        <v>5</v>
      </c>
      <c r="D50" t="s">
        <v>2</v>
      </c>
    </row>
    <row r="51" spans="1:4" x14ac:dyDescent="0.25">
      <c r="A51" s="1">
        <v>0.121837549933422</v>
      </c>
      <c r="B51" s="1" t="s">
        <v>23</v>
      </c>
      <c r="C51" t="s">
        <v>0</v>
      </c>
      <c r="D51" t="s">
        <v>2</v>
      </c>
    </row>
    <row r="52" spans="1:4" x14ac:dyDescent="0.25">
      <c r="A52" s="1">
        <v>0.117083333333333</v>
      </c>
      <c r="B52" s="1" t="s">
        <v>23</v>
      </c>
      <c r="C52" t="s">
        <v>5</v>
      </c>
      <c r="D52" t="s">
        <v>2</v>
      </c>
    </row>
    <row r="53" spans="1:4" x14ac:dyDescent="0.25">
      <c r="A53" s="1">
        <v>0.41059602649006599</v>
      </c>
      <c r="B53" s="3" t="s">
        <v>86</v>
      </c>
      <c r="C53" s="4" t="s">
        <v>0</v>
      </c>
      <c r="D53" t="s">
        <v>1</v>
      </c>
    </row>
    <row r="54" spans="1:4" x14ac:dyDescent="0.25">
      <c r="A54" s="1">
        <v>0.119205298013245</v>
      </c>
      <c r="B54" s="3" t="s">
        <v>86</v>
      </c>
      <c r="C54" s="4" t="s">
        <v>3</v>
      </c>
      <c r="D54" t="s">
        <v>1</v>
      </c>
    </row>
    <row r="55" spans="1:4" x14ac:dyDescent="0.25">
      <c r="A55" s="1">
        <v>0.3125</v>
      </c>
      <c r="B55" s="3" t="s">
        <v>86</v>
      </c>
      <c r="C55" s="4" t="s">
        <v>5</v>
      </c>
      <c r="D55" t="s">
        <v>1</v>
      </c>
    </row>
    <row r="56" spans="1:4" x14ac:dyDescent="0.25">
      <c r="A56" s="1">
        <v>0.12916666666666601</v>
      </c>
      <c r="B56" s="1" t="s">
        <v>93</v>
      </c>
      <c r="C56" t="s">
        <v>5</v>
      </c>
      <c r="D56" t="s">
        <v>1</v>
      </c>
    </row>
    <row r="57" spans="1:4" x14ac:dyDescent="0.25">
      <c r="A57" s="1">
        <v>0.165562913907284</v>
      </c>
      <c r="B57" s="1" t="s">
        <v>94</v>
      </c>
      <c r="C57" t="s">
        <v>0</v>
      </c>
      <c r="D57" t="s">
        <v>1</v>
      </c>
    </row>
    <row r="58" spans="1:4" x14ac:dyDescent="0.25">
      <c r="A58" s="1">
        <v>0.105960264900662</v>
      </c>
      <c r="B58" s="1" t="s">
        <v>94</v>
      </c>
      <c r="C58" t="s">
        <v>3</v>
      </c>
      <c r="D58" t="s">
        <v>1</v>
      </c>
    </row>
    <row r="59" spans="1:4" x14ac:dyDescent="0.25">
      <c r="A59" s="1">
        <v>0.211920529801324</v>
      </c>
      <c r="B59" s="1" t="s">
        <v>88</v>
      </c>
      <c r="C59" t="s">
        <v>0</v>
      </c>
      <c r="D59" t="s">
        <v>1</v>
      </c>
    </row>
    <row r="60" spans="1:4" x14ac:dyDescent="0.25">
      <c r="A60" s="1">
        <v>0.170833333333333</v>
      </c>
      <c r="B60" s="1" t="s">
        <v>88</v>
      </c>
      <c r="C60" t="s">
        <v>5</v>
      </c>
      <c r="D60" t="s">
        <v>1</v>
      </c>
    </row>
    <row r="61" spans="1:4" x14ac:dyDescent="0.25">
      <c r="A61" s="1">
        <v>0.44166666666666599</v>
      </c>
      <c r="B61" s="1" t="s">
        <v>37</v>
      </c>
      <c r="C61" t="s">
        <v>5</v>
      </c>
      <c r="D61" t="s">
        <v>1</v>
      </c>
    </row>
    <row r="62" spans="1:4" x14ac:dyDescent="0.25">
      <c r="A62" s="1">
        <v>0.17041666666666599</v>
      </c>
      <c r="B62" s="1" t="s">
        <v>37</v>
      </c>
      <c r="C62" t="s">
        <v>5</v>
      </c>
      <c r="D62" t="s">
        <v>2</v>
      </c>
    </row>
    <row r="63" spans="1:4" x14ac:dyDescent="0.25">
      <c r="A63" s="1">
        <v>0.1125</v>
      </c>
      <c r="B63" s="1" t="s">
        <v>64</v>
      </c>
      <c r="C63" t="s">
        <v>5</v>
      </c>
      <c r="D63" t="s">
        <v>1</v>
      </c>
    </row>
    <row r="64" spans="1:4" x14ac:dyDescent="0.25">
      <c r="A64" s="1">
        <v>0.1875</v>
      </c>
      <c r="B64" s="1" t="s">
        <v>59</v>
      </c>
      <c r="C64" t="s">
        <v>5</v>
      </c>
      <c r="D64" t="s">
        <v>1</v>
      </c>
    </row>
    <row r="65" spans="1:4" x14ac:dyDescent="0.25">
      <c r="A65" s="1">
        <v>0.16666666666666599</v>
      </c>
      <c r="B65" s="1" t="s">
        <v>56</v>
      </c>
      <c r="C65" t="s">
        <v>5</v>
      </c>
      <c r="D65" t="s">
        <v>1</v>
      </c>
    </row>
    <row r="66" spans="1:4" x14ac:dyDescent="0.25">
      <c r="A66" s="1">
        <v>0.23375000000000001</v>
      </c>
      <c r="B66" s="1" t="s">
        <v>39</v>
      </c>
      <c r="C66" t="s">
        <v>5</v>
      </c>
      <c r="D66" t="s">
        <v>2</v>
      </c>
    </row>
    <row r="67" spans="1:4" x14ac:dyDescent="0.25">
      <c r="A67" s="1">
        <v>0.205298013245033</v>
      </c>
      <c r="B67" s="1" t="s">
        <v>9</v>
      </c>
      <c r="C67" t="s">
        <v>0</v>
      </c>
      <c r="D67" t="s">
        <v>1</v>
      </c>
    </row>
    <row r="68" spans="1:4" x14ac:dyDescent="0.25">
      <c r="A68" s="1">
        <v>0.19867549668874099</v>
      </c>
      <c r="B68" s="1" t="s">
        <v>9</v>
      </c>
      <c r="C68" t="s">
        <v>3</v>
      </c>
      <c r="D68" t="s">
        <v>1</v>
      </c>
    </row>
    <row r="69" spans="1:4" x14ac:dyDescent="0.25">
      <c r="A69" s="1">
        <v>0.158940397350993</v>
      </c>
      <c r="B69" s="1" t="s">
        <v>43</v>
      </c>
      <c r="C69" t="s">
        <v>0</v>
      </c>
      <c r="D69" t="s">
        <v>1</v>
      </c>
    </row>
    <row r="70" spans="1:4" x14ac:dyDescent="0.25">
      <c r="A70" s="1">
        <v>0.17880794701986699</v>
      </c>
      <c r="B70" s="1" t="s">
        <v>43</v>
      </c>
      <c r="C70" t="s">
        <v>3</v>
      </c>
      <c r="D70" t="s">
        <v>1</v>
      </c>
    </row>
    <row r="71" spans="1:4" x14ac:dyDescent="0.25">
      <c r="A71" s="1">
        <v>0.19867549668874099</v>
      </c>
      <c r="B71" s="1" t="s">
        <v>7</v>
      </c>
      <c r="C71" t="s">
        <v>0</v>
      </c>
      <c r="D71" t="s">
        <v>1</v>
      </c>
    </row>
    <row r="72" spans="1:4" x14ac:dyDescent="0.25">
      <c r="A72" s="1">
        <v>0.22516556291390699</v>
      </c>
      <c r="B72" s="1" t="s">
        <v>7</v>
      </c>
      <c r="C72" t="s">
        <v>3</v>
      </c>
      <c r="D72" t="s">
        <v>1</v>
      </c>
    </row>
    <row r="73" spans="1:4" x14ac:dyDescent="0.25">
      <c r="A73" s="1">
        <v>0.158940397350993</v>
      </c>
      <c r="B73" s="1" t="s">
        <v>42</v>
      </c>
      <c r="C73" t="s">
        <v>0</v>
      </c>
      <c r="D73" t="s">
        <v>1</v>
      </c>
    </row>
    <row r="74" spans="1:4" x14ac:dyDescent="0.25">
      <c r="A74" s="1">
        <v>0.19867549668874099</v>
      </c>
      <c r="B74" s="1" t="s">
        <v>42</v>
      </c>
      <c r="C74" t="s">
        <v>3</v>
      </c>
      <c r="D74" t="s">
        <v>1</v>
      </c>
    </row>
    <row r="75" spans="1:4" x14ac:dyDescent="0.25">
      <c r="A75" s="1">
        <v>0.185430463576158</v>
      </c>
      <c r="B75" s="1" t="s">
        <v>18</v>
      </c>
      <c r="C75" t="s">
        <v>0</v>
      </c>
      <c r="D75" t="s">
        <v>1</v>
      </c>
    </row>
    <row r="76" spans="1:4" x14ac:dyDescent="0.25">
      <c r="A76" s="1">
        <v>0.384820239680426</v>
      </c>
      <c r="B76" s="1" t="s">
        <v>18</v>
      </c>
      <c r="C76" t="s">
        <v>0</v>
      </c>
      <c r="D76" t="s">
        <v>2</v>
      </c>
    </row>
    <row r="77" spans="1:4" x14ac:dyDescent="0.25">
      <c r="A77" s="1">
        <v>0.56953642384105896</v>
      </c>
      <c r="B77" s="1" t="s">
        <v>18</v>
      </c>
      <c r="C77" t="s">
        <v>3</v>
      </c>
      <c r="D77" t="s">
        <v>1</v>
      </c>
    </row>
    <row r="78" spans="1:4" x14ac:dyDescent="0.25">
      <c r="A78" s="1">
        <v>0.29161118508655098</v>
      </c>
      <c r="B78" s="1" t="s">
        <v>18</v>
      </c>
      <c r="C78" t="s">
        <v>3</v>
      </c>
      <c r="D78" t="s">
        <v>2</v>
      </c>
    </row>
    <row r="79" spans="1:4" x14ac:dyDescent="0.25">
      <c r="A79" s="1">
        <v>0.165562913907284</v>
      </c>
      <c r="B79" s="1" t="s">
        <v>51</v>
      </c>
      <c r="C79" t="s">
        <v>3</v>
      </c>
      <c r="D79" t="s">
        <v>1</v>
      </c>
    </row>
    <row r="80" spans="1:4" x14ac:dyDescent="0.25">
      <c r="A80" s="1">
        <v>0.12582781456953601</v>
      </c>
      <c r="B80" s="1" t="s">
        <v>55</v>
      </c>
      <c r="C80" t="s">
        <v>3</v>
      </c>
      <c r="D80" t="s">
        <v>1</v>
      </c>
    </row>
    <row r="81" spans="1:4" x14ac:dyDescent="0.25">
      <c r="A81" s="1">
        <v>0.119205298013245</v>
      </c>
      <c r="B81" s="1" t="s">
        <v>54</v>
      </c>
      <c r="C81" t="s">
        <v>3</v>
      </c>
      <c r="D81" t="s">
        <v>1</v>
      </c>
    </row>
    <row r="82" spans="1:4" x14ac:dyDescent="0.25">
      <c r="A82" s="1">
        <v>0.41059602649006599</v>
      </c>
      <c r="B82" s="1" t="s">
        <v>11</v>
      </c>
      <c r="C82" t="s">
        <v>0</v>
      </c>
      <c r="D82" t="s">
        <v>1</v>
      </c>
    </row>
    <row r="83" spans="1:4" x14ac:dyDescent="0.25">
      <c r="A83" s="1">
        <v>0.34087882822902799</v>
      </c>
      <c r="B83" s="1" t="s">
        <v>11</v>
      </c>
      <c r="C83" t="s">
        <v>0</v>
      </c>
      <c r="D83" t="s">
        <v>2</v>
      </c>
    </row>
    <row r="84" spans="1:4" x14ac:dyDescent="0.25">
      <c r="A84" s="1">
        <v>0.43941411451398099</v>
      </c>
      <c r="B84" s="1" t="s">
        <v>11</v>
      </c>
      <c r="C84" t="s">
        <v>3</v>
      </c>
      <c r="D84" t="s">
        <v>2</v>
      </c>
    </row>
    <row r="85" spans="1:4" x14ac:dyDescent="0.25">
      <c r="A85" s="1">
        <v>0.50833333333333297</v>
      </c>
      <c r="B85" s="1" t="s">
        <v>11</v>
      </c>
      <c r="C85" t="s">
        <v>5</v>
      </c>
      <c r="D85" t="s">
        <v>1</v>
      </c>
    </row>
    <row r="86" spans="1:4" x14ac:dyDescent="0.25">
      <c r="A86" s="1">
        <v>0.141666666666666</v>
      </c>
      <c r="B86" s="1" t="s">
        <v>11</v>
      </c>
      <c r="C86" t="s">
        <v>5</v>
      </c>
      <c r="D86" t="s">
        <v>2</v>
      </c>
    </row>
    <row r="87" spans="1:4" ht="13.2" customHeight="1" x14ac:dyDescent="0.25">
      <c r="A87" s="1">
        <v>0.119205298013245</v>
      </c>
      <c r="B87" s="1" t="s">
        <v>46</v>
      </c>
      <c r="C87" t="s">
        <v>0</v>
      </c>
      <c r="D87" t="s">
        <v>1</v>
      </c>
    </row>
    <row r="88" spans="1:4" x14ac:dyDescent="0.25">
      <c r="A88" s="1">
        <v>0.18333333333333299</v>
      </c>
      <c r="B88" s="1" t="s">
        <v>46</v>
      </c>
      <c r="C88" t="s">
        <v>5</v>
      </c>
      <c r="D88" t="s">
        <v>1</v>
      </c>
    </row>
    <row r="89" spans="1:4" x14ac:dyDescent="0.25">
      <c r="A89" s="1">
        <v>0.10416666666666601</v>
      </c>
      <c r="B89" s="1" t="s">
        <v>62</v>
      </c>
      <c r="C89" t="s">
        <v>5</v>
      </c>
      <c r="D89" t="s">
        <v>1</v>
      </c>
    </row>
    <row r="90" spans="1:4" x14ac:dyDescent="0.25">
      <c r="A90" s="1">
        <v>0.16666666666666599</v>
      </c>
      <c r="B90" s="1" t="s">
        <v>57</v>
      </c>
      <c r="C90" t="s">
        <v>5</v>
      </c>
      <c r="D90" t="s">
        <v>1</v>
      </c>
    </row>
    <row r="91" spans="1:4" x14ac:dyDescent="0.25">
      <c r="A91" s="1">
        <v>0.18333333333333299</v>
      </c>
      <c r="B91" s="1" t="s">
        <v>38</v>
      </c>
      <c r="C91" t="s">
        <v>5</v>
      </c>
      <c r="D91" t="s">
        <v>1</v>
      </c>
    </row>
    <row r="92" spans="1:4" x14ac:dyDescent="0.25">
      <c r="A92" s="1">
        <v>0.144166666666666</v>
      </c>
      <c r="B92" s="1" t="s">
        <v>38</v>
      </c>
      <c r="C92" t="s">
        <v>5</v>
      </c>
      <c r="D92" t="s">
        <v>2</v>
      </c>
    </row>
    <row r="93" spans="1:4" x14ac:dyDescent="0.25">
      <c r="A93" s="1">
        <v>0.31788079470198599</v>
      </c>
      <c r="B93" s="1" t="s">
        <v>6</v>
      </c>
      <c r="C93" t="s">
        <v>0</v>
      </c>
      <c r="D93" t="s">
        <v>1</v>
      </c>
    </row>
    <row r="94" spans="1:4" x14ac:dyDescent="0.25">
      <c r="A94" s="1">
        <v>0.37748344370860898</v>
      </c>
      <c r="B94" s="1" t="s">
        <v>6</v>
      </c>
      <c r="C94" t="s">
        <v>3</v>
      </c>
      <c r="D94" t="s">
        <v>1</v>
      </c>
    </row>
    <row r="95" spans="1:4" x14ac:dyDescent="0.25">
      <c r="A95" s="1">
        <v>0.105960264900662</v>
      </c>
      <c r="B95" s="1" t="s">
        <v>17</v>
      </c>
      <c r="C95" t="s">
        <v>0</v>
      </c>
      <c r="D95" t="s">
        <v>1</v>
      </c>
    </row>
    <row r="96" spans="1:4" x14ac:dyDescent="0.25">
      <c r="A96" s="1">
        <v>0.1125</v>
      </c>
      <c r="B96" s="1" t="s">
        <v>96</v>
      </c>
      <c r="C96" t="s">
        <v>5</v>
      </c>
      <c r="D96" t="s">
        <v>1</v>
      </c>
    </row>
    <row r="97" spans="1:4" x14ac:dyDescent="0.25">
      <c r="A97" s="1">
        <v>0.14569536423841001</v>
      </c>
      <c r="B97" s="1" t="s">
        <v>35</v>
      </c>
      <c r="C97" t="s">
        <v>3</v>
      </c>
      <c r="D97" t="s">
        <v>1</v>
      </c>
    </row>
    <row r="98" spans="1:4" x14ac:dyDescent="0.25">
      <c r="A98" s="1">
        <v>0.204166666666666</v>
      </c>
      <c r="B98" s="1" t="s">
        <v>35</v>
      </c>
      <c r="C98" t="s">
        <v>5</v>
      </c>
      <c r="D98" t="s">
        <v>1</v>
      </c>
    </row>
    <row r="99" spans="1:4" x14ac:dyDescent="0.25">
      <c r="A99" s="3">
        <v>0.199733688415446</v>
      </c>
      <c r="B99" s="3" t="s">
        <v>92</v>
      </c>
      <c r="C99" s="4" t="s">
        <v>0</v>
      </c>
      <c r="D99" t="s">
        <v>2</v>
      </c>
    </row>
    <row r="100" spans="1:4" x14ac:dyDescent="0.25">
      <c r="A100" s="3">
        <v>0.199733688415446</v>
      </c>
      <c r="B100" s="3" t="s">
        <v>31</v>
      </c>
      <c r="C100" s="4" t="s">
        <v>3</v>
      </c>
      <c r="D100" t="s">
        <v>2</v>
      </c>
    </row>
    <row r="101" spans="1:4" x14ac:dyDescent="0.25">
      <c r="A101" s="3">
        <v>0.16791666666666599</v>
      </c>
      <c r="B101" s="3" t="s">
        <v>31</v>
      </c>
      <c r="C101" s="4" t="s">
        <v>5</v>
      </c>
      <c r="D101" t="s">
        <v>2</v>
      </c>
    </row>
    <row r="102" spans="1:4" x14ac:dyDescent="0.25">
      <c r="A102" s="1">
        <v>0.24666666666666601</v>
      </c>
      <c r="B102" s="1" t="s">
        <v>41</v>
      </c>
      <c r="C102" t="s">
        <v>5</v>
      </c>
      <c r="D102" t="s">
        <v>2</v>
      </c>
    </row>
    <row r="103" spans="1:4" x14ac:dyDescent="0.25">
      <c r="A103" s="1">
        <v>0.139072847682119</v>
      </c>
      <c r="B103" s="1" t="s">
        <v>16</v>
      </c>
      <c r="C103" t="s">
        <v>0</v>
      </c>
      <c r="D103" t="s">
        <v>1</v>
      </c>
    </row>
    <row r="104" spans="1:4" x14ac:dyDescent="0.25">
      <c r="A104" s="1">
        <v>0.38333333333333303</v>
      </c>
      <c r="B104" s="1" t="s">
        <v>16</v>
      </c>
      <c r="C104" t="s">
        <v>5</v>
      </c>
      <c r="D104" t="s">
        <v>1</v>
      </c>
    </row>
    <row r="105" spans="1:4" x14ac:dyDescent="0.25">
      <c r="A105" s="1">
        <v>0.12716378162450001</v>
      </c>
      <c r="B105" s="1" t="s">
        <v>24</v>
      </c>
      <c r="C105" t="s">
        <v>0</v>
      </c>
      <c r="D105" t="s">
        <v>2</v>
      </c>
    </row>
    <row r="106" spans="1:4" x14ac:dyDescent="0.25">
      <c r="A106" s="1">
        <v>0.125832223701731</v>
      </c>
      <c r="B106" s="1" t="s">
        <v>24</v>
      </c>
      <c r="C106" t="s">
        <v>3</v>
      </c>
      <c r="D106" t="s">
        <v>2</v>
      </c>
    </row>
    <row r="107" spans="1:4" x14ac:dyDescent="0.25">
      <c r="A107" s="1">
        <v>0.147916666666666</v>
      </c>
      <c r="B107" s="1" t="s">
        <v>24</v>
      </c>
      <c r="C107" t="s">
        <v>5</v>
      </c>
      <c r="D107" t="s">
        <v>2</v>
      </c>
    </row>
    <row r="108" spans="1:4" x14ac:dyDescent="0.25">
      <c r="A108" s="1">
        <v>0.18442077230359499</v>
      </c>
      <c r="B108" s="1" t="s">
        <v>25</v>
      </c>
      <c r="C108" t="s">
        <v>0</v>
      </c>
      <c r="D108" t="s">
        <v>2</v>
      </c>
    </row>
    <row r="109" spans="1:4" x14ac:dyDescent="0.25">
      <c r="A109" s="1">
        <v>0.18774966711051899</v>
      </c>
      <c r="B109" s="1" t="s">
        <v>25</v>
      </c>
      <c r="C109" t="s">
        <v>3</v>
      </c>
      <c r="D109" t="s">
        <v>2</v>
      </c>
    </row>
    <row r="110" spans="1:4" x14ac:dyDescent="0.25">
      <c r="A110" s="3">
        <v>0.14647137150466</v>
      </c>
      <c r="B110" s="3" t="s">
        <v>91</v>
      </c>
      <c r="C110" s="4" t="s">
        <v>0</v>
      </c>
      <c r="D110" t="s">
        <v>2</v>
      </c>
    </row>
    <row r="111" spans="1:4" x14ac:dyDescent="0.25">
      <c r="A111" s="3">
        <v>0.15446071904127801</v>
      </c>
      <c r="B111" s="3" t="s">
        <v>22</v>
      </c>
      <c r="C111" s="4" t="s">
        <v>3</v>
      </c>
      <c r="D111" t="s">
        <v>2</v>
      </c>
    </row>
    <row r="112" spans="1:4" x14ac:dyDescent="0.25">
      <c r="A112" s="3">
        <v>0.13541666666666599</v>
      </c>
      <c r="B112" s="3" t="s">
        <v>22</v>
      </c>
      <c r="C112" s="4" t="s">
        <v>5</v>
      </c>
      <c r="D112" t="s">
        <v>2</v>
      </c>
    </row>
    <row r="113" spans="1:4" x14ac:dyDescent="0.25">
      <c r="A113" s="1">
        <v>0.10918774966711001</v>
      </c>
      <c r="B113" s="1" t="s">
        <v>26</v>
      </c>
      <c r="C113" t="s">
        <v>0</v>
      </c>
      <c r="D113" t="s">
        <v>2</v>
      </c>
    </row>
    <row r="114" spans="1:4" x14ac:dyDescent="0.25">
      <c r="A114" s="1">
        <v>0.117177097203728</v>
      </c>
      <c r="B114" s="1" t="s">
        <v>26</v>
      </c>
      <c r="C114" t="s">
        <v>3</v>
      </c>
      <c r="D114" t="s">
        <v>2</v>
      </c>
    </row>
    <row r="115" spans="1:4" x14ac:dyDescent="0.25">
      <c r="A115" s="1">
        <v>0.18875</v>
      </c>
      <c r="B115" s="1" t="s">
        <v>26</v>
      </c>
      <c r="C115" t="s">
        <v>5</v>
      </c>
      <c r="D115" t="s">
        <v>2</v>
      </c>
    </row>
    <row r="116" spans="1:4" x14ac:dyDescent="0.25">
      <c r="A116" s="1">
        <v>0.101198402130492</v>
      </c>
      <c r="B116" s="1" t="s">
        <v>36</v>
      </c>
      <c r="C116" t="s">
        <v>3</v>
      </c>
      <c r="D116" t="s">
        <v>2</v>
      </c>
    </row>
    <row r="117" spans="1:4" x14ac:dyDescent="0.25">
      <c r="A117" s="1">
        <v>0.116666666666666</v>
      </c>
      <c r="B117" s="1" t="s">
        <v>36</v>
      </c>
      <c r="C117" t="s">
        <v>5</v>
      </c>
      <c r="D117" t="s">
        <v>2</v>
      </c>
    </row>
  </sheetData>
  <sortState xmlns:xlrd2="http://schemas.microsoft.com/office/spreadsheetml/2017/richdata2" ref="A1:D117">
    <sortCondition ref="B1:B11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493D-4BB7-4BC9-A6F2-FADD7071BF53}">
  <dimension ref="A1:D35"/>
  <sheetViews>
    <sheetView showGridLines="0" topLeftCell="A10" workbookViewId="0">
      <selection activeCell="F22" sqref="F22"/>
    </sheetView>
  </sheetViews>
  <sheetFormatPr defaultRowHeight="13.8" x14ac:dyDescent="0.25"/>
  <cols>
    <col min="2" max="2" width="34" bestFit="1" customWidth="1"/>
  </cols>
  <sheetData>
    <row r="1" spans="1:4" x14ac:dyDescent="0.25">
      <c r="A1" t="s">
        <v>65</v>
      </c>
      <c r="B1" t="s">
        <v>66</v>
      </c>
      <c r="C1" t="s">
        <v>67</v>
      </c>
      <c r="D1" t="s">
        <v>68</v>
      </c>
    </row>
    <row r="2" spans="1:4" x14ac:dyDescent="0.25">
      <c r="A2" s="1">
        <v>0.31788079470198599</v>
      </c>
      <c r="B2" s="1" t="s">
        <v>6</v>
      </c>
      <c r="C2" t="s">
        <v>0</v>
      </c>
      <c r="D2" t="s">
        <v>1</v>
      </c>
    </row>
    <row r="3" spans="1:4" x14ac:dyDescent="0.25">
      <c r="A3" s="1">
        <v>0.19867549668874099</v>
      </c>
      <c r="B3" s="1" t="s">
        <v>7</v>
      </c>
      <c r="C3" t="s">
        <v>0</v>
      </c>
      <c r="D3" t="s">
        <v>1</v>
      </c>
    </row>
    <row r="4" spans="1:4" x14ac:dyDescent="0.25">
      <c r="A4" s="1">
        <v>0.19867549668874099</v>
      </c>
      <c r="B4" s="1" t="s">
        <v>8</v>
      </c>
      <c r="C4" t="s">
        <v>0</v>
      </c>
      <c r="D4" t="s">
        <v>1</v>
      </c>
    </row>
    <row r="5" spans="1:4" x14ac:dyDescent="0.25">
      <c r="A5" s="1">
        <v>0.205298013245033</v>
      </c>
      <c r="B5" s="1" t="s">
        <v>9</v>
      </c>
      <c r="C5" t="s">
        <v>0</v>
      </c>
      <c r="D5" t="s">
        <v>1</v>
      </c>
    </row>
    <row r="6" spans="1:4" x14ac:dyDescent="0.25">
      <c r="A6" s="1">
        <v>0.23841059602649001</v>
      </c>
      <c r="B6" s="1" t="s">
        <v>10</v>
      </c>
      <c r="C6" t="s">
        <v>0</v>
      </c>
      <c r="D6" t="s">
        <v>1</v>
      </c>
    </row>
    <row r="7" spans="1:4" x14ac:dyDescent="0.25">
      <c r="A7" s="1">
        <v>0.41059602649006599</v>
      </c>
      <c r="B7" s="1" t="s">
        <v>11</v>
      </c>
      <c r="C7" t="s">
        <v>0</v>
      </c>
      <c r="D7" t="s">
        <v>1</v>
      </c>
    </row>
    <row r="8" spans="1:4" x14ac:dyDescent="0.25">
      <c r="A8" s="1">
        <v>0.41059602649006599</v>
      </c>
      <c r="B8" s="1" t="s">
        <v>12</v>
      </c>
      <c r="C8" t="s">
        <v>0</v>
      </c>
      <c r="D8" t="s">
        <v>1</v>
      </c>
    </row>
    <row r="9" spans="1:4" x14ac:dyDescent="0.25">
      <c r="A9" s="1">
        <v>0.211920529801324</v>
      </c>
      <c r="B9" s="1" t="s">
        <v>45</v>
      </c>
      <c r="C9" t="s">
        <v>0</v>
      </c>
      <c r="D9" t="s">
        <v>1</v>
      </c>
    </row>
    <row r="10" spans="1:4" x14ac:dyDescent="0.25">
      <c r="A10" s="1">
        <v>0.384820239680426</v>
      </c>
      <c r="B10" s="1" t="s">
        <v>18</v>
      </c>
      <c r="C10" t="s">
        <v>0</v>
      </c>
      <c r="D10" t="s">
        <v>2</v>
      </c>
    </row>
    <row r="11" spans="1:4" x14ac:dyDescent="0.25">
      <c r="A11" s="1">
        <v>0.34087882822902799</v>
      </c>
      <c r="B11" s="1" t="s">
        <v>11</v>
      </c>
      <c r="C11" t="s">
        <v>0</v>
      </c>
      <c r="D11" t="s">
        <v>2</v>
      </c>
    </row>
    <row r="12" spans="1:4" x14ac:dyDescent="0.25">
      <c r="A12" s="1">
        <v>0.199733688415446</v>
      </c>
      <c r="B12" s="1" t="s">
        <v>31</v>
      </c>
      <c r="C12" t="s">
        <v>0</v>
      </c>
      <c r="D12" t="s">
        <v>2</v>
      </c>
    </row>
    <row r="13" spans="1:4" x14ac:dyDescent="0.25">
      <c r="A13" s="1">
        <v>0.37748344370860898</v>
      </c>
      <c r="B13" s="1" t="s">
        <v>6</v>
      </c>
      <c r="C13" t="s">
        <v>3</v>
      </c>
      <c r="D13" t="s">
        <v>1</v>
      </c>
    </row>
    <row r="14" spans="1:4" x14ac:dyDescent="0.25">
      <c r="A14" s="1">
        <v>0.19867549668874099</v>
      </c>
      <c r="B14" s="1" t="s">
        <v>9</v>
      </c>
      <c r="C14" t="s">
        <v>3</v>
      </c>
      <c r="D14" t="s">
        <v>1</v>
      </c>
    </row>
    <row r="15" spans="1:4" x14ac:dyDescent="0.25">
      <c r="A15" s="1">
        <v>0.22516556291390699</v>
      </c>
      <c r="B15" s="1" t="s">
        <v>7</v>
      </c>
      <c r="C15" t="s">
        <v>3</v>
      </c>
      <c r="D15" t="s">
        <v>1</v>
      </c>
    </row>
    <row r="16" spans="1:4" x14ac:dyDescent="0.25">
      <c r="A16" s="1">
        <v>0.205298013245033</v>
      </c>
      <c r="B16" s="1" t="s">
        <v>14</v>
      </c>
      <c r="C16" t="s">
        <v>3</v>
      </c>
      <c r="D16" t="s">
        <v>1</v>
      </c>
    </row>
    <row r="17" spans="1:4" x14ac:dyDescent="0.25">
      <c r="A17" s="1">
        <v>0.56953642384105896</v>
      </c>
      <c r="B17" s="1" t="s">
        <v>18</v>
      </c>
      <c r="C17" t="s">
        <v>3</v>
      </c>
      <c r="D17" t="s">
        <v>1</v>
      </c>
    </row>
    <row r="18" spans="1:4" x14ac:dyDescent="0.25">
      <c r="A18" s="1">
        <v>0.22516556291390699</v>
      </c>
      <c r="B18" s="1" t="s">
        <v>20</v>
      </c>
      <c r="C18" t="s">
        <v>3</v>
      </c>
      <c r="D18" t="s">
        <v>1</v>
      </c>
    </row>
    <row r="19" spans="1:4" x14ac:dyDescent="0.25">
      <c r="A19" s="1">
        <v>0.19867549668874099</v>
      </c>
      <c r="B19" s="1" t="s">
        <v>21</v>
      </c>
      <c r="C19" t="s">
        <v>3</v>
      </c>
      <c r="D19" t="s">
        <v>1</v>
      </c>
    </row>
    <row r="20" spans="1:4" x14ac:dyDescent="0.25">
      <c r="A20" s="1">
        <v>0.19867549668874099</v>
      </c>
      <c r="B20" s="1" t="s">
        <v>42</v>
      </c>
      <c r="C20" t="s">
        <v>3</v>
      </c>
      <c r="D20" t="s">
        <v>1</v>
      </c>
    </row>
    <row r="21" spans="1:4" x14ac:dyDescent="0.25">
      <c r="A21" s="1">
        <v>0.43941411451398099</v>
      </c>
      <c r="B21" s="1" t="s">
        <v>11</v>
      </c>
      <c r="C21" t="s">
        <v>3</v>
      </c>
      <c r="D21" t="s">
        <v>2</v>
      </c>
    </row>
    <row r="22" spans="1:4" x14ac:dyDescent="0.25">
      <c r="A22" s="1">
        <v>0.29161118508655098</v>
      </c>
      <c r="B22" s="1" t="s">
        <v>18</v>
      </c>
      <c r="C22" t="s">
        <v>3</v>
      </c>
      <c r="D22" t="s">
        <v>2</v>
      </c>
    </row>
    <row r="23" spans="1:4" x14ac:dyDescent="0.25">
      <c r="A23" s="1">
        <v>0.199733688415446</v>
      </c>
      <c r="B23" s="1" t="s">
        <v>31</v>
      </c>
      <c r="C23" t="s">
        <v>3</v>
      </c>
      <c r="D23" t="s">
        <v>2</v>
      </c>
    </row>
    <row r="24" spans="1:4" x14ac:dyDescent="0.25">
      <c r="A24" s="1">
        <v>0.44166666666666599</v>
      </c>
      <c r="B24" s="1" t="s">
        <v>37</v>
      </c>
      <c r="C24" t="s">
        <v>5</v>
      </c>
      <c r="D24" t="s">
        <v>1</v>
      </c>
    </row>
    <row r="25" spans="1:4" x14ac:dyDescent="0.25">
      <c r="A25" s="1">
        <v>0.38333333333333303</v>
      </c>
      <c r="B25" s="1" t="s">
        <v>16</v>
      </c>
      <c r="C25" t="s">
        <v>5</v>
      </c>
      <c r="D25" t="s">
        <v>1</v>
      </c>
    </row>
    <row r="26" spans="1:4" x14ac:dyDescent="0.25">
      <c r="A26" s="1">
        <v>0.3125</v>
      </c>
      <c r="B26" s="1" t="s">
        <v>12</v>
      </c>
      <c r="C26" t="s">
        <v>5</v>
      </c>
      <c r="D26" t="s">
        <v>1</v>
      </c>
    </row>
    <row r="27" spans="1:4" x14ac:dyDescent="0.25">
      <c r="A27" s="1">
        <v>0.50833333333333297</v>
      </c>
      <c r="B27" s="1" t="s">
        <v>11</v>
      </c>
      <c r="C27" t="s">
        <v>5</v>
      </c>
      <c r="D27" t="s">
        <v>1</v>
      </c>
    </row>
    <row r="28" spans="1:4" x14ac:dyDescent="0.25">
      <c r="A28" s="1">
        <v>0.37083333333333302</v>
      </c>
      <c r="B28" s="1" t="s">
        <v>15</v>
      </c>
      <c r="C28" t="s">
        <v>5</v>
      </c>
      <c r="D28" t="s">
        <v>1</v>
      </c>
    </row>
    <row r="29" spans="1:4" x14ac:dyDescent="0.25">
      <c r="A29" s="1">
        <v>0.241666666666666</v>
      </c>
      <c r="B29" s="1" t="s">
        <v>21</v>
      </c>
      <c r="C29" t="s">
        <v>5</v>
      </c>
      <c r="D29" t="s">
        <v>1</v>
      </c>
    </row>
    <row r="30" spans="1:4" x14ac:dyDescent="0.25">
      <c r="A30" s="1">
        <v>0.204166666666666</v>
      </c>
      <c r="B30" s="1" t="s">
        <v>35</v>
      </c>
      <c r="C30" t="s">
        <v>5</v>
      </c>
      <c r="D30" t="s">
        <v>1</v>
      </c>
    </row>
    <row r="31" spans="1:4" x14ac:dyDescent="0.25">
      <c r="A31" s="1">
        <v>0.241666666666666</v>
      </c>
      <c r="B31" s="1" t="s">
        <v>20</v>
      </c>
      <c r="C31" t="s">
        <v>5</v>
      </c>
      <c r="D31" t="s">
        <v>1</v>
      </c>
    </row>
    <row r="32" spans="1:4" x14ac:dyDescent="0.25">
      <c r="A32" s="1">
        <v>0.23375000000000001</v>
      </c>
      <c r="B32" s="1" t="s">
        <v>39</v>
      </c>
      <c r="C32" t="s">
        <v>5</v>
      </c>
      <c r="D32" t="s">
        <v>2</v>
      </c>
    </row>
    <row r="33" spans="1:4" x14ac:dyDescent="0.25">
      <c r="A33" s="1">
        <v>0.20749999999999999</v>
      </c>
      <c r="B33" s="1" t="s">
        <v>40</v>
      </c>
      <c r="C33" t="s">
        <v>5</v>
      </c>
      <c r="D33" t="s">
        <v>2</v>
      </c>
    </row>
    <row r="34" spans="1:4" x14ac:dyDescent="0.25">
      <c r="A34" s="1">
        <v>0.23583333333333301</v>
      </c>
      <c r="B34" s="1" t="s">
        <v>4</v>
      </c>
      <c r="C34" t="s">
        <v>5</v>
      </c>
      <c r="D34" t="s">
        <v>2</v>
      </c>
    </row>
    <row r="35" spans="1:4" x14ac:dyDescent="0.25">
      <c r="A35" s="1">
        <v>0.24666666666666601</v>
      </c>
      <c r="B35" s="1" t="s">
        <v>41</v>
      </c>
      <c r="C35" t="s">
        <v>5</v>
      </c>
      <c r="D35" t="s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56A1-0AC0-4D5C-A646-507F8691C287}">
  <dimension ref="A1:E25"/>
  <sheetViews>
    <sheetView showGridLines="0" topLeftCell="A4" workbookViewId="0">
      <selection activeCell="A19" sqref="A19:XFD19"/>
    </sheetView>
  </sheetViews>
  <sheetFormatPr defaultRowHeight="13.8" x14ac:dyDescent="0.25"/>
  <cols>
    <col min="2" max="2" width="34" bestFit="1" customWidth="1"/>
    <col min="5" max="5" width="34" bestFit="1" customWidth="1"/>
  </cols>
  <sheetData>
    <row r="1" spans="1:5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25">
      <c r="A2" s="1">
        <v>0.19867549668874099</v>
      </c>
      <c r="B2" s="1">
        <v>2</v>
      </c>
      <c r="C2" t="s">
        <v>3</v>
      </c>
      <c r="D2" t="s">
        <v>1</v>
      </c>
      <c r="E2" s="1" t="s">
        <v>21</v>
      </c>
    </row>
    <row r="3" spans="1:5" x14ac:dyDescent="0.25">
      <c r="A3" s="1">
        <v>0.241666666666666</v>
      </c>
      <c r="B3" s="1">
        <v>3</v>
      </c>
      <c r="C3" t="s">
        <v>5</v>
      </c>
      <c r="D3" t="s">
        <v>1</v>
      </c>
      <c r="E3" s="1" t="s">
        <v>21</v>
      </c>
    </row>
    <row r="4" spans="1:5" x14ac:dyDescent="0.25">
      <c r="A4" s="1">
        <v>0.22516556291390699</v>
      </c>
      <c r="B4" s="1">
        <v>4</v>
      </c>
      <c r="C4" t="s">
        <v>3</v>
      </c>
      <c r="D4" t="s">
        <v>1</v>
      </c>
      <c r="E4" s="1" t="s">
        <v>20</v>
      </c>
    </row>
    <row r="5" spans="1:5" x14ac:dyDescent="0.25">
      <c r="A5" s="1">
        <v>0.241666666666666</v>
      </c>
      <c r="B5" s="1">
        <v>5</v>
      </c>
      <c r="C5" t="s">
        <v>5</v>
      </c>
      <c r="D5" t="s">
        <v>1</v>
      </c>
      <c r="E5" s="1" t="s">
        <v>20</v>
      </c>
    </row>
    <row r="6" spans="1:5" x14ac:dyDescent="0.25">
      <c r="A6" s="1">
        <v>0.37083333333333302</v>
      </c>
      <c r="B6" s="1">
        <v>6</v>
      </c>
      <c r="C6" t="s">
        <v>5</v>
      </c>
      <c r="D6" t="s">
        <v>1</v>
      </c>
      <c r="E6" s="1" t="s">
        <v>15</v>
      </c>
    </row>
    <row r="7" spans="1:5" x14ac:dyDescent="0.25">
      <c r="A7" s="1">
        <v>0.19867549668874099</v>
      </c>
      <c r="B7" s="1">
        <v>8</v>
      </c>
      <c r="C7" t="s">
        <v>0</v>
      </c>
      <c r="D7" t="s">
        <v>1</v>
      </c>
      <c r="E7" s="1" t="s">
        <v>8</v>
      </c>
    </row>
    <row r="8" spans="1:5" x14ac:dyDescent="0.25">
      <c r="A8" s="1">
        <v>0.23841059602649001</v>
      </c>
      <c r="B8" s="1">
        <v>9</v>
      </c>
      <c r="C8" t="s">
        <v>0</v>
      </c>
      <c r="D8" t="s">
        <v>1</v>
      </c>
      <c r="E8" s="1" t="s">
        <v>10</v>
      </c>
    </row>
    <row r="9" spans="1:5" x14ac:dyDescent="0.25">
      <c r="A9" s="1">
        <v>0.205298013245033</v>
      </c>
      <c r="B9" s="1">
        <v>10</v>
      </c>
      <c r="C9" t="s">
        <v>3</v>
      </c>
      <c r="D9" t="s">
        <v>1</v>
      </c>
      <c r="E9" s="1" t="s">
        <v>14</v>
      </c>
    </row>
    <row r="10" spans="1:5" x14ac:dyDescent="0.25">
      <c r="A10" s="1">
        <v>0.41059602649006599</v>
      </c>
      <c r="B10" s="1">
        <v>11</v>
      </c>
      <c r="C10" t="s">
        <v>0</v>
      </c>
      <c r="D10" t="s">
        <v>1</v>
      </c>
      <c r="E10" s="1" t="s">
        <v>87</v>
      </c>
    </row>
    <row r="11" spans="1:5" x14ac:dyDescent="0.25">
      <c r="A11" s="1">
        <v>0.3125</v>
      </c>
      <c r="B11" s="1">
        <v>12</v>
      </c>
      <c r="C11" t="s">
        <v>5</v>
      </c>
      <c r="D11" t="s">
        <v>1</v>
      </c>
      <c r="E11" s="1" t="s">
        <v>87</v>
      </c>
    </row>
    <row r="12" spans="1:5" x14ac:dyDescent="0.25">
      <c r="A12" s="1">
        <v>0.211920529801324</v>
      </c>
      <c r="B12" s="1">
        <v>13</v>
      </c>
      <c r="C12" t="s">
        <v>0</v>
      </c>
      <c r="D12" t="s">
        <v>1</v>
      </c>
      <c r="E12" s="1" t="s">
        <v>89</v>
      </c>
    </row>
    <row r="13" spans="1:5" x14ac:dyDescent="0.25">
      <c r="A13" s="1">
        <v>0.44166666666666599</v>
      </c>
      <c r="B13" s="1">
        <v>14</v>
      </c>
      <c r="C13" t="s">
        <v>5</v>
      </c>
      <c r="D13" t="s">
        <v>1</v>
      </c>
      <c r="E13" s="1" t="s">
        <v>90</v>
      </c>
    </row>
    <row r="14" spans="1:5" x14ac:dyDescent="0.25">
      <c r="A14" s="1">
        <v>0.205298013245033</v>
      </c>
      <c r="B14" s="1">
        <v>16</v>
      </c>
      <c r="C14" t="s">
        <v>0</v>
      </c>
      <c r="D14" t="s">
        <v>1</v>
      </c>
      <c r="E14" s="1" t="s">
        <v>9</v>
      </c>
    </row>
    <row r="15" spans="1:5" x14ac:dyDescent="0.25">
      <c r="A15" s="1">
        <v>0.19867549668874099</v>
      </c>
      <c r="B15" s="1">
        <v>17</v>
      </c>
      <c r="C15" t="s">
        <v>3</v>
      </c>
      <c r="D15" t="s">
        <v>1</v>
      </c>
      <c r="E15" s="1" t="s">
        <v>9</v>
      </c>
    </row>
    <row r="16" spans="1:5" x14ac:dyDescent="0.25">
      <c r="A16" s="1">
        <v>0.19867549668874099</v>
      </c>
      <c r="B16" s="1">
        <v>18</v>
      </c>
      <c r="C16" t="s">
        <v>0</v>
      </c>
      <c r="D16" t="s">
        <v>1</v>
      </c>
      <c r="E16" s="1" t="s">
        <v>7</v>
      </c>
    </row>
    <row r="17" spans="1:5" x14ac:dyDescent="0.25">
      <c r="A17" s="1">
        <v>0.22516556291390699</v>
      </c>
      <c r="B17" s="1">
        <v>19</v>
      </c>
      <c r="C17" t="s">
        <v>3</v>
      </c>
      <c r="D17" t="s">
        <v>1</v>
      </c>
      <c r="E17" s="1" t="s">
        <v>7</v>
      </c>
    </row>
    <row r="18" spans="1:5" x14ac:dyDescent="0.25">
      <c r="A18" s="1">
        <v>0.19867549668874099</v>
      </c>
      <c r="B18" s="1">
        <v>20</v>
      </c>
      <c r="C18" t="s">
        <v>3</v>
      </c>
      <c r="D18" t="s">
        <v>1</v>
      </c>
      <c r="E18" s="1" t="s">
        <v>42</v>
      </c>
    </row>
    <row r="19" spans="1:5" x14ac:dyDescent="0.25">
      <c r="A19" s="1">
        <v>0.56953642384105896</v>
      </c>
      <c r="B19" s="1">
        <v>22</v>
      </c>
      <c r="C19" t="s">
        <v>3</v>
      </c>
      <c r="D19" t="s">
        <v>1</v>
      </c>
      <c r="E19" s="1" t="s">
        <v>18</v>
      </c>
    </row>
    <row r="20" spans="1:5" x14ac:dyDescent="0.25">
      <c r="A20" s="1">
        <v>0.41059602649006599</v>
      </c>
      <c r="B20" s="1">
        <v>24</v>
      </c>
      <c r="C20" t="s">
        <v>0</v>
      </c>
      <c r="D20" t="s">
        <v>1</v>
      </c>
      <c r="E20" s="1" t="s">
        <v>11</v>
      </c>
    </row>
    <row r="21" spans="1:5" x14ac:dyDescent="0.25">
      <c r="A21" s="1">
        <v>0.50833333333333297</v>
      </c>
      <c r="B21" s="1">
        <v>27</v>
      </c>
      <c r="C21" t="s">
        <v>5</v>
      </c>
      <c r="D21" t="s">
        <v>1</v>
      </c>
      <c r="E21" s="1" t="s">
        <v>11</v>
      </c>
    </row>
    <row r="22" spans="1:5" x14ac:dyDescent="0.25">
      <c r="A22" s="1">
        <v>0.31788079470198599</v>
      </c>
      <c r="B22" s="1">
        <v>28</v>
      </c>
      <c r="C22" t="s">
        <v>0</v>
      </c>
      <c r="D22" t="s">
        <v>1</v>
      </c>
      <c r="E22" s="1" t="s">
        <v>6</v>
      </c>
    </row>
    <row r="23" spans="1:5" x14ac:dyDescent="0.25">
      <c r="A23" s="1">
        <v>0.37748344370860898</v>
      </c>
      <c r="B23" s="1">
        <v>29</v>
      </c>
      <c r="C23" t="s">
        <v>3</v>
      </c>
      <c r="D23" t="s">
        <v>1</v>
      </c>
      <c r="E23" s="1" t="s">
        <v>6</v>
      </c>
    </row>
    <row r="24" spans="1:5" x14ac:dyDescent="0.25">
      <c r="A24" s="1">
        <v>0.204166666666666</v>
      </c>
      <c r="B24" s="1">
        <v>30</v>
      </c>
      <c r="C24" t="s">
        <v>5</v>
      </c>
      <c r="D24" t="s">
        <v>1</v>
      </c>
      <c r="E24" s="1" t="s">
        <v>35</v>
      </c>
    </row>
    <row r="25" spans="1:5" x14ac:dyDescent="0.25">
      <c r="A25" s="1">
        <v>0.38333333333333303</v>
      </c>
      <c r="B25" s="1">
        <v>34</v>
      </c>
      <c r="C25" t="s">
        <v>5</v>
      </c>
      <c r="D25" t="s">
        <v>1</v>
      </c>
      <c r="E25" s="1" t="s">
        <v>16</v>
      </c>
    </row>
  </sheetData>
  <sortState xmlns:xlrd2="http://schemas.microsoft.com/office/spreadsheetml/2017/richdata2" ref="A2:E25">
    <sortCondition ref="B2:B25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4C1B-BC21-40A8-8BBE-10B21512FF6D}">
  <dimension ref="A1:D7"/>
  <sheetViews>
    <sheetView showGridLines="0" workbookViewId="0">
      <selection activeCell="J14" sqref="J14"/>
    </sheetView>
  </sheetViews>
  <sheetFormatPr defaultRowHeight="13.8" x14ac:dyDescent="0.25"/>
  <sheetData>
    <row r="1" spans="1:4" x14ac:dyDescent="0.25">
      <c r="A1" t="s">
        <v>70</v>
      </c>
      <c r="B1" t="s">
        <v>71</v>
      </c>
      <c r="C1" t="s">
        <v>72</v>
      </c>
      <c r="D1" t="s">
        <v>73</v>
      </c>
    </row>
    <row r="2" spans="1:4" x14ac:dyDescent="0.25">
      <c r="A2" t="s">
        <v>0</v>
      </c>
      <c r="B2" t="s">
        <v>75</v>
      </c>
      <c r="C2" s="2">
        <v>0.82619950819142574</v>
      </c>
      <c r="D2" s="2">
        <v>2.9458223160990074E-2</v>
      </c>
    </row>
    <row r="3" spans="1:4" x14ac:dyDescent="0.25">
      <c r="A3" t="s">
        <v>0</v>
      </c>
      <c r="B3" t="s">
        <v>76</v>
      </c>
      <c r="C3" s="2">
        <v>0.78838698718523192</v>
      </c>
      <c r="D3" s="2">
        <v>3.0749870506630989E-2</v>
      </c>
    </row>
    <row r="4" spans="1:4" x14ac:dyDescent="0.25">
      <c r="A4" t="s">
        <v>3</v>
      </c>
      <c r="B4" t="s">
        <v>75</v>
      </c>
      <c r="C4" s="2">
        <v>0.83941267263537989</v>
      </c>
      <c r="D4" s="2">
        <v>2.3940265216199949E-2</v>
      </c>
    </row>
    <row r="5" spans="1:4" x14ac:dyDescent="0.25">
      <c r="A5" t="s">
        <v>3</v>
      </c>
      <c r="B5" t="s">
        <v>76</v>
      </c>
      <c r="C5" s="2">
        <v>0.80202408162256167</v>
      </c>
      <c r="D5" s="2">
        <v>3.862802933835368E-2</v>
      </c>
    </row>
    <row r="6" spans="1:4" x14ac:dyDescent="0.25">
      <c r="A6" t="s">
        <v>5</v>
      </c>
      <c r="B6" t="s">
        <v>75</v>
      </c>
      <c r="C6" s="2">
        <v>0.9114655616515096</v>
      </c>
      <c r="D6" s="2">
        <v>1.209728654931147E-2</v>
      </c>
    </row>
    <row r="7" spans="1:4" x14ac:dyDescent="0.25">
      <c r="A7" t="s">
        <v>5</v>
      </c>
      <c r="B7" t="s">
        <v>76</v>
      </c>
      <c r="C7" s="2">
        <v>0.86253750942515262</v>
      </c>
      <c r="D7" s="2">
        <v>1.1861685985055128E-2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AA26-671B-49F4-A56A-6853341D44C1}">
  <dimension ref="A1:D13"/>
  <sheetViews>
    <sheetView showGridLines="0" workbookViewId="0">
      <selection activeCell="F2" sqref="F2"/>
    </sheetView>
  </sheetViews>
  <sheetFormatPr defaultRowHeight="13.8" x14ac:dyDescent="0.25"/>
  <cols>
    <col min="1" max="1" width="12.21875" customWidth="1"/>
  </cols>
  <sheetData>
    <row r="1" spans="1:4" x14ac:dyDescent="0.25">
      <c r="A1" t="s">
        <v>80</v>
      </c>
      <c r="B1" t="s">
        <v>66</v>
      </c>
      <c r="C1" t="s">
        <v>67</v>
      </c>
      <c r="D1" t="s">
        <v>85</v>
      </c>
    </row>
    <row r="2" spans="1:4" x14ac:dyDescent="0.25">
      <c r="A2" s="1">
        <v>27.750452519815301</v>
      </c>
      <c r="B2" t="s">
        <v>81</v>
      </c>
      <c r="C2" t="s">
        <v>0</v>
      </c>
      <c r="D2">
        <f>SUM(A3:A5)+A2/2</f>
        <v>86.124773740092152</v>
      </c>
    </row>
    <row r="3" spans="1:4" x14ac:dyDescent="0.25">
      <c r="A3" s="1">
        <v>16.175282407846801</v>
      </c>
      <c r="B3" t="s">
        <v>82</v>
      </c>
      <c r="C3" t="s">
        <v>0</v>
      </c>
      <c r="D3">
        <f>SUM(A4:A5)+A3/2</f>
        <v>64.161906276261092</v>
      </c>
    </row>
    <row r="4" spans="1:4" x14ac:dyDescent="0.25">
      <c r="A4" s="1">
        <v>24.7222736789432</v>
      </c>
      <c r="B4" t="s">
        <v>83</v>
      </c>
      <c r="C4" t="s">
        <v>0</v>
      </c>
      <c r="D4">
        <f>A5+A4/2</f>
        <v>43.713128232866097</v>
      </c>
    </row>
    <row r="5" spans="1:4" x14ac:dyDescent="0.25">
      <c r="A5" s="1">
        <v>31.351991393394499</v>
      </c>
      <c r="B5" t="s">
        <v>84</v>
      </c>
      <c r="C5" t="s">
        <v>0</v>
      </c>
      <c r="D5">
        <f>A5/2</f>
        <v>15.67599569669725</v>
      </c>
    </row>
    <row r="6" spans="1:4" x14ac:dyDescent="0.25">
      <c r="A6" s="1">
        <v>29.546436677170401</v>
      </c>
      <c r="B6" t="s">
        <v>81</v>
      </c>
      <c r="C6" t="s">
        <v>3</v>
      </c>
      <c r="D6">
        <f>SUM(A7:A9)+A6/2</f>
        <v>85.226781661414691</v>
      </c>
    </row>
    <row r="7" spans="1:4" x14ac:dyDescent="0.25">
      <c r="A7" s="1">
        <v>20.516946422776599</v>
      </c>
      <c r="B7" t="s">
        <v>82</v>
      </c>
      <c r="C7" t="s">
        <v>3</v>
      </c>
      <c r="D7">
        <f>SUM(A8:A9)+A7/2</f>
        <v>60.195090111441196</v>
      </c>
    </row>
    <row r="8" spans="1:4" x14ac:dyDescent="0.25">
      <c r="A8" s="1">
        <v>20.388284549366102</v>
      </c>
      <c r="B8" t="s">
        <v>83</v>
      </c>
      <c r="C8" t="s">
        <v>3</v>
      </c>
      <c r="D8">
        <f>A9+A8/2</f>
        <v>39.742474625369852</v>
      </c>
    </row>
    <row r="9" spans="1:4" x14ac:dyDescent="0.25">
      <c r="A9" s="1">
        <v>29.548332350686799</v>
      </c>
      <c r="B9" t="s">
        <v>84</v>
      </c>
      <c r="C9" t="s">
        <v>3</v>
      </c>
      <c r="D9">
        <f>A9/2</f>
        <v>14.774166175343399</v>
      </c>
    </row>
    <row r="10" spans="1:4" x14ac:dyDescent="0.25">
      <c r="A10" s="1">
        <v>30.348958802979102</v>
      </c>
      <c r="B10" t="s">
        <v>81</v>
      </c>
      <c r="C10" t="s">
        <v>5</v>
      </c>
      <c r="D10">
        <f>SUM(A11:A13)+A10/2</f>
        <v>84.825520598510337</v>
      </c>
    </row>
    <row r="11" spans="1:4" x14ac:dyDescent="0.25">
      <c r="A11" s="1">
        <v>22.0689050384333</v>
      </c>
      <c r="B11" t="s">
        <v>82</v>
      </c>
      <c r="C11" t="s">
        <v>5</v>
      </c>
      <c r="D11">
        <f>SUM(A12:A13)+A11/2</f>
        <v>58.616588677804152</v>
      </c>
    </row>
    <row r="12" spans="1:4" x14ac:dyDescent="0.25">
      <c r="A12" s="1">
        <v>17.8228759389815</v>
      </c>
      <c r="B12" t="s">
        <v>83</v>
      </c>
      <c r="C12" t="s">
        <v>5</v>
      </c>
      <c r="D12">
        <f>A13+A12/2</f>
        <v>38.670698189096747</v>
      </c>
    </row>
    <row r="13" spans="1:4" x14ac:dyDescent="0.25">
      <c r="A13" s="1">
        <v>29.759260219605999</v>
      </c>
      <c r="B13" t="s">
        <v>84</v>
      </c>
      <c r="C13" t="s">
        <v>5</v>
      </c>
      <c r="D13">
        <f>A13/2</f>
        <v>14.879630109802999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8921-695D-4841-9C70-7D02F1264ECE}">
  <dimension ref="A1:Q15"/>
  <sheetViews>
    <sheetView showGridLines="0" workbookViewId="0">
      <selection activeCell="Q14" activeCellId="1" sqref="N14:N15 Q14:Q15"/>
    </sheetView>
  </sheetViews>
  <sheetFormatPr defaultRowHeight="13.8" x14ac:dyDescent="0.25"/>
  <sheetData>
    <row r="1" spans="1:17" x14ac:dyDescent="0.25">
      <c r="A1" t="s">
        <v>0</v>
      </c>
      <c r="G1" t="s">
        <v>79</v>
      </c>
      <c r="M1" t="s">
        <v>5</v>
      </c>
    </row>
    <row r="2" spans="1:17" x14ac:dyDescent="0.25">
      <c r="A2" t="s">
        <v>74</v>
      </c>
      <c r="B2" t="s">
        <v>75</v>
      </c>
      <c r="C2" t="s">
        <v>77</v>
      </c>
      <c r="D2" t="s">
        <v>78</v>
      </c>
      <c r="E2" t="s">
        <v>76</v>
      </c>
      <c r="G2" t="s">
        <v>74</v>
      </c>
      <c r="H2" t="s">
        <v>75</v>
      </c>
      <c r="I2" t="s">
        <v>77</v>
      </c>
      <c r="J2" t="s">
        <v>78</v>
      </c>
      <c r="K2" t="s">
        <v>76</v>
      </c>
    </row>
    <row r="3" spans="1:17" x14ac:dyDescent="0.25">
      <c r="A3">
        <v>0.86046511627906896</v>
      </c>
      <c r="B3">
        <v>0.82834030774465295</v>
      </c>
      <c r="C3">
        <v>0.82825364322944295</v>
      </c>
      <c r="D3">
        <v>0.82865870749710002</v>
      </c>
      <c r="E3">
        <v>0.78931846092614399</v>
      </c>
      <c r="G3">
        <v>0.837209302325581</v>
      </c>
      <c r="H3">
        <v>0.80686526728346197</v>
      </c>
      <c r="I3">
        <v>0.80870253164556904</v>
      </c>
      <c r="J3">
        <v>0.80874559035582105</v>
      </c>
      <c r="K3">
        <v>0.75422768870036705</v>
      </c>
      <c r="M3">
        <v>0.89791666666666603</v>
      </c>
      <c r="N3">
        <v>0.88969065347893495</v>
      </c>
      <c r="O3">
        <v>0.87382772977738599</v>
      </c>
      <c r="P3">
        <v>0.90850331926964101</v>
      </c>
      <c r="Q3">
        <v>0.83662413344807696</v>
      </c>
    </row>
    <row r="4" spans="1:17" x14ac:dyDescent="0.25">
      <c r="A4">
        <v>0.87707641196013197</v>
      </c>
      <c r="B4">
        <v>0.83344214223297697</v>
      </c>
      <c r="C4">
        <v>0.80083922507376204</v>
      </c>
      <c r="D4">
        <v>0.886700011700011</v>
      </c>
      <c r="E4">
        <v>0.80709511038317805</v>
      </c>
      <c r="G4">
        <v>0.88372093023255804</v>
      </c>
      <c r="H4">
        <v>0.83387831757168995</v>
      </c>
      <c r="I4">
        <v>0.83430134164671799</v>
      </c>
      <c r="J4">
        <v>0.83856645296046906</v>
      </c>
      <c r="K4">
        <v>0.82109227011935104</v>
      </c>
      <c r="M4">
        <v>0.91874999999999996</v>
      </c>
      <c r="N4">
        <v>0.92300738748779698</v>
      </c>
      <c r="O4">
        <v>0.91967846955963095</v>
      </c>
      <c r="P4">
        <v>0.92747282292756605</v>
      </c>
      <c r="Q4">
        <v>0.87479818283549204</v>
      </c>
    </row>
    <row r="5" spans="1:17" x14ac:dyDescent="0.25">
      <c r="A5">
        <v>0.85714285714285698</v>
      </c>
      <c r="B5">
        <v>0.827159920015203</v>
      </c>
      <c r="C5">
        <v>0.83103025939771802</v>
      </c>
      <c r="D5">
        <v>0.82726273844694898</v>
      </c>
      <c r="E5">
        <v>0.77885412924887398</v>
      </c>
      <c r="G5">
        <v>0.90697674418604601</v>
      </c>
      <c r="H5">
        <v>0.87365399786322795</v>
      </c>
      <c r="I5">
        <v>0.87299254082949096</v>
      </c>
      <c r="J5">
        <v>0.87434110998287695</v>
      </c>
      <c r="K5">
        <v>0.85640113818500396</v>
      </c>
      <c r="M5">
        <v>0.90833333333333299</v>
      </c>
      <c r="N5">
        <v>0.91038388599800402</v>
      </c>
      <c r="O5">
        <v>0.90386000127583899</v>
      </c>
      <c r="P5">
        <v>0.91875559402675699</v>
      </c>
      <c r="Q5">
        <v>0.85808848769375001</v>
      </c>
    </row>
    <row r="6" spans="1:17" x14ac:dyDescent="0.25">
      <c r="A6">
        <v>0.86046511627906896</v>
      </c>
      <c r="B6">
        <v>0.81234416382128405</v>
      </c>
      <c r="C6">
        <v>0.78450686397552905</v>
      </c>
      <c r="D6">
        <v>0.86805455081317096</v>
      </c>
      <c r="E6">
        <v>0.78651649838195803</v>
      </c>
      <c r="G6">
        <v>0.87375415282391999</v>
      </c>
      <c r="H6">
        <v>0.84696483432082503</v>
      </c>
      <c r="I6">
        <v>0.83026229397470697</v>
      </c>
      <c r="J6">
        <v>0.86791418041418</v>
      </c>
      <c r="K6">
        <v>0.80572428250179695</v>
      </c>
      <c r="M6">
        <v>0.90833333333333299</v>
      </c>
      <c r="N6">
        <v>0.90991115441636805</v>
      </c>
      <c r="O6">
        <v>0.89518994943109897</v>
      </c>
      <c r="P6">
        <v>0.92725183542107503</v>
      </c>
      <c r="Q6">
        <v>0.86047457410674899</v>
      </c>
    </row>
    <row r="7" spans="1:17" x14ac:dyDescent="0.25">
      <c r="A7">
        <v>0.82666666666666599</v>
      </c>
      <c r="B7">
        <v>0.79845544304386995</v>
      </c>
      <c r="C7">
        <v>0.78732638888888795</v>
      </c>
      <c r="D7">
        <v>0.81877939841558001</v>
      </c>
      <c r="E7">
        <v>0.74556716210327301</v>
      </c>
      <c r="G7">
        <v>0.82666666666666599</v>
      </c>
      <c r="H7">
        <v>0.82126319109036605</v>
      </c>
      <c r="I7">
        <v>0.82117228835978795</v>
      </c>
      <c r="J7">
        <v>0.82287894030851705</v>
      </c>
      <c r="K7">
        <v>0.744915057618173</v>
      </c>
      <c r="M7">
        <v>0.91874999999999996</v>
      </c>
      <c r="N7">
        <v>0.93439620926352795</v>
      </c>
      <c r="O7">
        <v>0.93074061906144401</v>
      </c>
      <c r="P7">
        <v>0.93857826048091497</v>
      </c>
      <c r="Q7">
        <v>0.87765134027438796</v>
      </c>
    </row>
    <row r="8" spans="1:17" x14ac:dyDescent="0.25">
      <c r="A8">
        <v>0.84</v>
      </c>
      <c r="B8">
        <v>0.77019845164796397</v>
      </c>
      <c r="C8">
        <v>0.768493080993081</v>
      </c>
      <c r="D8">
        <v>0.77266340518024501</v>
      </c>
      <c r="E8">
        <v>0.74455659749857295</v>
      </c>
      <c r="G8">
        <v>0.86333333333333295</v>
      </c>
      <c r="H8">
        <v>0.826438654300653</v>
      </c>
      <c r="I8">
        <v>0.83555796055795994</v>
      </c>
      <c r="J8">
        <v>0.81922507772964304</v>
      </c>
      <c r="K8">
        <v>0.787502538699966</v>
      </c>
      <c r="M8">
        <v>0.91874999999999996</v>
      </c>
      <c r="N8">
        <v>0.90693812652491901</v>
      </c>
      <c r="O8">
        <v>0.90995603282148896</v>
      </c>
      <c r="P8">
        <v>0.90478695832469402</v>
      </c>
      <c r="Q8">
        <v>0.86738403849008705</v>
      </c>
    </row>
    <row r="9" spans="1:17" x14ac:dyDescent="0.25">
      <c r="A9">
        <v>0.85</v>
      </c>
      <c r="B9">
        <v>0.81447202789089601</v>
      </c>
      <c r="C9">
        <v>0.80155443756449896</v>
      </c>
      <c r="D9">
        <v>0.833414027492974</v>
      </c>
      <c r="E9">
        <v>0.76313131403244805</v>
      </c>
      <c r="G9">
        <v>0.87666666666666604</v>
      </c>
      <c r="H9">
        <v>0.84013397135536705</v>
      </c>
      <c r="I9">
        <v>0.825523520811833</v>
      </c>
      <c r="J9">
        <v>0.86167283059406297</v>
      </c>
      <c r="K9">
        <v>0.80709544445344195</v>
      </c>
      <c r="M9">
        <v>0.90625</v>
      </c>
      <c r="N9">
        <v>0.90699148786867001</v>
      </c>
      <c r="O9">
        <v>0.90334486119114998</v>
      </c>
      <c r="P9">
        <v>0.91107283519761895</v>
      </c>
      <c r="Q9">
        <v>0.85710128145167297</v>
      </c>
    </row>
    <row r="10" spans="1:17" x14ac:dyDescent="0.25">
      <c r="A10">
        <v>0.89333333333333298</v>
      </c>
      <c r="B10">
        <v>0.85646376883140396</v>
      </c>
      <c r="C10">
        <v>0.83809688722294595</v>
      </c>
      <c r="D10">
        <v>0.88562210251239204</v>
      </c>
      <c r="E10">
        <v>0.83040594209517204</v>
      </c>
      <c r="G10">
        <v>0.88666666666666605</v>
      </c>
      <c r="H10">
        <v>0.86582571609625203</v>
      </c>
      <c r="I10">
        <v>0.88013160039113403</v>
      </c>
      <c r="J10">
        <v>0.85675780169487203</v>
      </c>
      <c r="K10">
        <v>0.81979657860028698</v>
      </c>
      <c r="M10">
        <v>0.91666666666666596</v>
      </c>
      <c r="N10">
        <v>0.91185678905432099</v>
      </c>
      <c r="O10">
        <v>0.90952208538858004</v>
      </c>
      <c r="P10">
        <v>0.91439663154533801</v>
      </c>
      <c r="Q10">
        <v>0.87275988416493699</v>
      </c>
    </row>
    <row r="11" spans="1:17" x14ac:dyDescent="0.25">
      <c r="A11">
        <v>0.88333333333333297</v>
      </c>
      <c r="B11">
        <v>0.87150546644648197</v>
      </c>
      <c r="C11">
        <v>0.87372198673417301</v>
      </c>
      <c r="D11">
        <v>0.86943840128974503</v>
      </c>
      <c r="E11">
        <v>0.82098289008259395</v>
      </c>
      <c r="G11">
        <v>0.85</v>
      </c>
      <c r="H11">
        <v>0.81089110165197098</v>
      </c>
      <c r="I11">
        <v>0.79703383178303699</v>
      </c>
      <c r="J11">
        <v>0.82840909090908998</v>
      </c>
      <c r="K11">
        <v>0.76810996412852395</v>
      </c>
      <c r="M11">
        <v>0.91458333333333297</v>
      </c>
      <c r="N11">
        <v>0.91906512929514494</v>
      </c>
      <c r="O11">
        <v>0.91614213187767302</v>
      </c>
      <c r="P11">
        <v>0.92348683867390202</v>
      </c>
      <c r="Q11">
        <v>0.86370756683060601</v>
      </c>
    </row>
    <row r="12" spans="1:17" x14ac:dyDescent="0.25">
      <c r="A12">
        <v>0.88666666666666605</v>
      </c>
      <c r="B12">
        <v>0.84961339023952398</v>
      </c>
      <c r="C12">
        <v>0.84169076480359495</v>
      </c>
      <c r="D12">
        <v>0.862548536439665</v>
      </c>
      <c r="E12">
        <v>0.81744176710010397</v>
      </c>
      <c r="G12">
        <v>0.91</v>
      </c>
      <c r="H12">
        <v>0.86821167481998496</v>
      </c>
      <c r="I12">
        <v>0.85692145771500206</v>
      </c>
      <c r="J12">
        <v>0.88635701661393296</v>
      </c>
      <c r="K12">
        <v>0.85537585321870502</v>
      </c>
      <c r="M12">
        <v>0.90833333333333299</v>
      </c>
      <c r="N12">
        <v>0.90241479312741002</v>
      </c>
      <c r="O12">
        <v>0.88769139194139202</v>
      </c>
      <c r="P12">
        <v>0.91974086471160899</v>
      </c>
      <c r="Q12">
        <v>0.85678560495576594</v>
      </c>
    </row>
    <row r="14" spans="1:17" x14ac:dyDescent="0.25">
      <c r="A14">
        <f>AVERAGE(A3:A12)</f>
        <v>0.86351495016611235</v>
      </c>
      <c r="B14">
        <f t="shared" ref="B14:E14" si="0">AVERAGE(B3:B12)</f>
        <v>0.82619950819142574</v>
      </c>
      <c r="C14">
        <f t="shared" si="0"/>
        <v>0.81555135378836341</v>
      </c>
      <c r="D14">
        <f t="shared" si="0"/>
        <v>0.84531418797878322</v>
      </c>
      <c r="E14">
        <f t="shared" si="0"/>
        <v>0.78838698718523192</v>
      </c>
      <c r="G14">
        <f t="shared" ref="G14:K14" si="1">AVERAGE(G3:G12)</f>
        <v>0.87149944629014353</v>
      </c>
      <c r="H14">
        <f t="shared" si="1"/>
        <v>0.83941267263537989</v>
      </c>
      <c r="I14">
        <f t="shared" si="1"/>
        <v>0.83625993677152388</v>
      </c>
      <c r="J14">
        <f t="shared" si="1"/>
        <v>0.84648680915634655</v>
      </c>
      <c r="K14">
        <f t="shared" si="1"/>
        <v>0.80202408162256167</v>
      </c>
      <c r="M14">
        <f t="shared" ref="M14:Q14" si="2">AVERAGE(M3:M12)</f>
        <v>0.91166666666666651</v>
      </c>
      <c r="N14">
        <f t="shared" si="2"/>
        <v>0.9114655616515096</v>
      </c>
      <c r="O14">
        <f t="shared" si="2"/>
        <v>0.90499532723256804</v>
      </c>
      <c r="P14">
        <f t="shared" si="2"/>
        <v>0.91940459605791136</v>
      </c>
      <c r="Q14">
        <f t="shared" si="2"/>
        <v>0.86253750942515262</v>
      </c>
    </row>
    <row r="15" spans="1:17" x14ac:dyDescent="0.25">
      <c r="A15">
        <f>STDEV(A3:A12)</f>
        <v>2.1484952895042046E-2</v>
      </c>
      <c r="B15">
        <f t="shared" ref="B15:E15" si="3">STDEV(B3:B12)</f>
        <v>2.9458223160990074E-2</v>
      </c>
      <c r="C15">
        <f t="shared" si="3"/>
        <v>3.2255210645691472E-2</v>
      </c>
      <c r="D15">
        <f t="shared" si="3"/>
        <v>3.568495464786977E-2</v>
      </c>
      <c r="E15">
        <f t="shared" si="3"/>
        <v>3.0749870506630989E-2</v>
      </c>
      <c r="G15">
        <f t="shared" ref="G15:K15" si="4">STDEV(G3:G12)</f>
        <v>2.7622108912813009E-2</v>
      </c>
      <c r="H15">
        <f t="shared" si="4"/>
        <v>2.3940265216199949E-2</v>
      </c>
      <c r="I15">
        <f t="shared" si="4"/>
        <v>2.6629582034551944E-2</v>
      </c>
      <c r="J15">
        <f t="shared" si="4"/>
        <v>2.6405397804371629E-2</v>
      </c>
      <c r="K15">
        <f t="shared" si="4"/>
        <v>3.862802933835368E-2</v>
      </c>
      <c r="M15">
        <f t="shared" ref="M15:Q15" si="5">STDEV(M3:M12)</f>
        <v>6.9583194721530772E-3</v>
      </c>
      <c r="N15">
        <f t="shared" si="5"/>
        <v>1.209728654931147E-2</v>
      </c>
      <c r="O15">
        <f t="shared" si="5"/>
        <v>1.6393663605832581E-2</v>
      </c>
      <c r="P15">
        <f t="shared" si="5"/>
        <v>1.0211730503989713E-2</v>
      </c>
      <c r="Q15">
        <f t="shared" si="5"/>
        <v>1.1861685985055128E-2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FEF3-A929-45F2-A7BE-E0B121FC8A77}">
  <dimension ref="A1:X37"/>
  <sheetViews>
    <sheetView showGridLines="0" topLeftCell="A16" workbookViewId="0">
      <selection activeCell="I39" sqref="I39"/>
    </sheetView>
  </sheetViews>
  <sheetFormatPr defaultRowHeight="13.8" x14ac:dyDescent="0.25"/>
  <sheetData>
    <row r="1" spans="1:24" x14ac:dyDescent="0.25">
      <c r="A1" t="s">
        <v>0</v>
      </c>
    </row>
    <row r="2" spans="1:24" s="1" customFormat="1" x14ac:dyDescent="0.25"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105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112</v>
      </c>
      <c r="R2" s="1" t="s">
        <v>113</v>
      </c>
      <c r="S2" s="1" t="s">
        <v>114</v>
      </c>
      <c r="T2" s="1" t="s">
        <v>115</v>
      </c>
      <c r="U2" s="1" t="s">
        <v>116</v>
      </c>
      <c r="V2" s="1" t="s">
        <v>117</v>
      </c>
    </row>
    <row r="3" spans="1:24" s="1" customFormat="1" x14ac:dyDescent="0.25">
      <c r="A3" s="1">
        <v>2</v>
      </c>
      <c r="B3" s="1" t="s">
        <v>118</v>
      </c>
      <c r="C3" s="1">
        <v>0.79538923591687505</v>
      </c>
      <c r="D3" s="1">
        <v>0.81704944217344999</v>
      </c>
      <c r="E3" s="1">
        <v>1</v>
      </c>
      <c r="F3" s="1" t="s">
        <v>118</v>
      </c>
      <c r="G3" s="1">
        <v>0.85599041304501899</v>
      </c>
      <c r="H3" s="1">
        <v>0.88992903283124103</v>
      </c>
      <c r="I3" s="1">
        <v>1</v>
      </c>
      <c r="J3" s="1" t="s">
        <v>118</v>
      </c>
      <c r="K3" s="1">
        <v>0.87141700794182497</v>
      </c>
      <c r="L3" s="1">
        <v>0.89825255866038201</v>
      </c>
      <c r="M3" s="1">
        <v>1</v>
      </c>
      <c r="N3" s="1" t="s">
        <v>118</v>
      </c>
      <c r="O3" s="1">
        <v>0.73716501711986904</v>
      </c>
      <c r="P3" s="1">
        <v>0.74782314962537799</v>
      </c>
      <c r="Q3" s="1">
        <v>2</v>
      </c>
      <c r="R3" s="1" t="s">
        <v>118</v>
      </c>
      <c r="S3" s="1">
        <v>0.81326169534600001</v>
      </c>
      <c r="T3" s="1">
        <v>0.82484376139820303</v>
      </c>
      <c r="U3" s="1">
        <v>1</v>
      </c>
      <c r="V3" s="1">
        <v>1.2</v>
      </c>
    </row>
    <row r="4" spans="1:24" s="1" customFormat="1" x14ac:dyDescent="0.25">
      <c r="A4" s="1">
        <v>39</v>
      </c>
      <c r="B4" s="1" t="s">
        <v>119</v>
      </c>
      <c r="C4" s="1">
        <v>0.769694274759539</v>
      </c>
      <c r="D4" s="1">
        <v>0.79984036958667704</v>
      </c>
      <c r="E4" s="1">
        <v>5</v>
      </c>
      <c r="F4" s="1" t="s">
        <v>119</v>
      </c>
      <c r="G4" s="1">
        <v>0.83360203336252003</v>
      </c>
      <c r="H4" s="1">
        <v>0.88505801144164897</v>
      </c>
      <c r="I4" s="1">
        <v>4</v>
      </c>
      <c r="J4" s="1" t="s">
        <v>119</v>
      </c>
      <c r="K4" s="1">
        <v>0.84975164532775405</v>
      </c>
      <c r="L4" s="1">
        <v>0.88811538157007697</v>
      </c>
      <c r="M4" s="1">
        <v>4</v>
      </c>
      <c r="N4" s="1" t="s">
        <v>119</v>
      </c>
      <c r="O4" s="1">
        <v>0.70518620172305502</v>
      </c>
      <c r="P4" s="1">
        <v>0.71440146568934804</v>
      </c>
      <c r="Q4" s="1">
        <v>19</v>
      </c>
      <c r="R4" s="1" t="s">
        <v>119</v>
      </c>
      <c r="S4" s="1">
        <v>0.77596669008173103</v>
      </c>
      <c r="T4" s="1">
        <v>0.76188335165266496</v>
      </c>
      <c r="U4" s="1">
        <v>6</v>
      </c>
      <c r="V4" s="1">
        <v>7.6</v>
      </c>
    </row>
    <row r="6" spans="1:24" s="1" customFormat="1" x14ac:dyDescent="0.25">
      <c r="B6" s="1" t="s">
        <v>120</v>
      </c>
      <c r="C6" s="1" t="s">
        <v>121</v>
      </c>
      <c r="D6" s="1" t="s">
        <v>123</v>
      </c>
      <c r="E6" s="1" t="s">
        <v>122</v>
      </c>
      <c r="F6" s="1" t="s">
        <v>125</v>
      </c>
      <c r="G6" s="1" t="s">
        <v>126</v>
      </c>
      <c r="H6" s="1" t="s">
        <v>127</v>
      </c>
      <c r="I6" s="1" t="s">
        <v>128</v>
      </c>
      <c r="J6" s="1" t="s">
        <v>129</v>
      </c>
      <c r="K6" s="1" t="s">
        <v>130</v>
      </c>
      <c r="L6" s="1" t="s">
        <v>131</v>
      </c>
      <c r="M6" s="1" t="s">
        <v>132</v>
      </c>
      <c r="N6" s="1" t="s">
        <v>133</v>
      </c>
      <c r="O6" s="1" t="s">
        <v>134</v>
      </c>
      <c r="P6" s="1" t="s">
        <v>135</v>
      </c>
      <c r="Q6" s="1" t="s">
        <v>136</v>
      </c>
      <c r="R6" s="1" t="s">
        <v>137</v>
      </c>
      <c r="S6" s="1" t="s">
        <v>138</v>
      </c>
      <c r="T6" s="1" t="s">
        <v>139</v>
      </c>
      <c r="U6" s="1" t="s">
        <v>140</v>
      </c>
      <c r="V6" s="1" t="s">
        <v>141</v>
      </c>
      <c r="W6" s="1" t="s">
        <v>117</v>
      </c>
      <c r="X6" s="1" t="s">
        <v>142</v>
      </c>
    </row>
    <row r="7" spans="1:24" s="1" customFormat="1" x14ac:dyDescent="0.25">
      <c r="B7" s="1" t="s">
        <v>143</v>
      </c>
      <c r="C7" s="1">
        <v>0.71909971636666703</v>
      </c>
      <c r="D7" s="1">
        <v>0.72772152499999998</v>
      </c>
      <c r="E7" s="1">
        <v>4</v>
      </c>
      <c r="F7" s="1" t="s">
        <v>143</v>
      </c>
      <c r="G7" s="1">
        <v>0.78315852524999996</v>
      </c>
      <c r="H7" s="1">
        <v>0.81018240750000003</v>
      </c>
      <c r="I7" s="1">
        <v>11</v>
      </c>
      <c r="J7" s="1" t="s">
        <v>143</v>
      </c>
      <c r="K7" s="1">
        <v>0.79639944823333297</v>
      </c>
      <c r="L7" s="1">
        <v>0.81404229449999999</v>
      </c>
      <c r="M7" s="1">
        <v>15</v>
      </c>
      <c r="N7" s="1" t="s">
        <v>143</v>
      </c>
      <c r="O7" s="1">
        <v>0.61899474777499996</v>
      </c>
      <c r="P7" s="1">
        <v>0.80902908250000005</v>
      </c>
      <c r="Q7" s="1">
        <v>69</v>
      </c>
      <c r="R7" s="1" t="s">
        <v>143</v>
      </c>
      <c r="S7" s="1">
        <v>0.73739882450833305</v>
      </c>
      <c r="T7" s="1">
        <v>0.75030920550000002</v>
      </c>
      <c r="U7" s="1">
        <v>11</v>
      </c>
      <c r="V7" s="1">
        <v>20</v>
      </c>
      <c r="W7" s="1">
        <v>22</v>
      </c>
      <c r="X7" s="1">
        <v>9.6</v>
      </c>
    </row>
    <row r="8" spans="1:24" s="8" customFormat="1" x14ac:dyDescent="0.25">
      <c r="B8" s="7" t="s">
        <v>144</v>
      </c>
      <c r="C8" s="7">
        <v>0.75568782474166696</v>
      </c>
      <c r="D8" s="7">
        <v>0.75881178449999998</v>
      </c>
      <c r="E8" s="7">
        <v>1</v>
      </c>
      <c r="F8" s="7" t="s">
        <v>144</v>
      </c>
      <c r="G8" s="7">
        <v>0.81503272615</v>
      </c>
      <c r="H8" s="7">
        <v>0.84326046050000003</v>
      </c>
      <c r="I8" s="7">
        <v>1</v>
      </c>
      <c r="J8" s="7" t="s">
        <v>144</v>
      </c>
      <c r="K8" s="7">
        <v>0.83109034561666695</v>
      </c>
      <c r="L8" s="7">
        <v>0.85707039799999996</v>
      </c>
      <c r="M8" s="7">
        <v>1</v>
      </c>
      <c r="N8" s="7" t="s">
        <v>144</v>
      </c>
      <c r="O8" s="7">
        <v>0.75653155012499995</v>
      </c>
      <c r="P8" s="7">
        <v>0.82697830800000005</v>
      </c>
      <c r="Q8" s="7">
        <v>1</v>
      </c>
      <c r="R8" s="7" t="s">
        <v>144</v>
      </c>
      <c r="S8" s="7">
        <v>0.734034251333333</v>
      </c>
      <c r="T8" s="7">
        <v>0.73444020200000004</v>
      </c>
      <c r="U8" s="7">
        <v>2</v>
      </c>
      <c r="V8" s="7">
        <v>4</v>
      </c>
      <c r="W8" s="7">
        <v>1.2</v>
      </c>
      <c r="X8" s="7">
        <v>1.6</v>
      </c>
    </row>
    <row r="9" spans="1:24" s="1" customFormat="1" x14ac:dyDescent="0.25">
      <c r="B9" s="1" t="s">
        <v>145</v>
      </c>
      <c r="C9" s="1">
        <v>0.69379721969166697</v>
      </c>
      <c r="D9" s="1">
        <v>0.66870281600000003</v>
      </c>
      <c r="E9" s="1">
        <v>3</v>
      </c>
      <c r="F9" s="1" t="s">
        <v>145</v>
      </c>
      <c r="G9" s="1">
        <v>0.73124249612500003</v>
      </c>
      <c r="H9" s="1">
        <v>0.73854555399999999</v>
      </c>
      <c r="I9" s="1">
        <v>2</v>
      </c>
      <c r="J9" s="1" t="s">
        <v>145</v>
      </c>
      <c r="K9" s="1">
        <v>0.73417143114166705</v>
      </c>
      <c r="L9" s="1">
        <v>0.73872984850000001</v>
      </c>
      <c r="M9" s="1">
        <v>2</v>
      </c>
      <c r="N9" s="1" t="s">
        <v>145</v>
      </c>
      <c r="O9" s="1">
        <v>0.441962451983333</v>
      </c>
      <c r="P9" s="1">
        <v>0.28872213450000001</v>
      </c>
      <c r="Q9" s="1">
        <v>1</v>
      </c>
      <c r="R9" s="1" t="s">
        <v>145</v>
      </c>
      <c r="S9" s="1">
        <v>0.69428027433333295</v>
      </c>
      <c r="T9" s="1">
        <v>0.63968088150000002</v>
      </c>
      <c r="U9" s="1">
        <v>2</v>
      </c>
      <c r="V9" s="1">
        <v>5</v>
      </c>
      <c r="W9" s="1">
        <v>2</v>
      </c>
      <c r="X9" s="1">
        <v>4.4000000000000004</v>
      </c>
    </row>
    <row r="11" spans="1:24" s="1" customFormat="1" x14ac:dyDescent="0.25">
      <c r="B11" s="1" t="s">
        <v>144</v>
      </c>
      <c r="C11" s="1">
        <v>0.75568782474166696</v>
      </c>
      <c r="D11" s="1">
        <v>0.75881178449999998</v>
      </c>
      <c r="E11" s="1">
        <v>1</v>
      </c>
      <c r="F11" s="1" t="s">
        <v>144</v>
      </c>
      <c r="G11" s="1">
        <v>0.81503272615</v>
      </c>
      <c r="H11" s="1">
        <v>0.84326046050000003</v>
      </c>
      <c r="I11" s="1">
        <v>1</v>
      </c>
      <c r="J11" s="1" t="s">
        <v>144</v>
      </c>
      <c r="K11" s="1">
        <v>0.83109034561666695</v>
      </c>
      <c r="L11" s="1">
        <v>0.85707039799999996</v>
      </c>
      <c r="M11" s="1">
        <v>1</v>
      </c>
      <c r="N11" s="1" t="s">
        <v>144</v>
      </c>
      <c r="O11" s="1">
        <v>0.75653155012499995</v>
      </c>
      <c r="P11" s="1">
        <v>0.82697830800000005</v>
      </c>
      <c r="Q11" s="1">
        <v>1</v>
      </c>
      <c r="R11" s="1" t="s">
        <v>144</v>
      </c>
      <c r="S11" s="1">
        <v>0.734034251333333</v>
      </c>
      <c r="T11" s="1">
        <v>0.73444020200000004</v>
      </c>
      <c r="U11" s="1">
        <v>22</v>
      </c>
      <c r="V11" s="1">
        <v>37</v>
      </c>
      <c r="W11" s="1">
        <v>5.2</v>
      </c>
      <c r="X11" s="1">
        <v>9</v>
      </c>
    </row>
    <row r="14" spans="1:24" x14ac:dyDescent="0.25">
      <c r="C14">
        <v>0.4</v>
      </c>
      <c r="D14">
        <v>0.4</v>
      </c>
      <c r="E14">
        <v>0.4</v>
      </c>
      <c r="F14">
        <v>0.5</v>
      </c>
      <c r="G14">
        <v>0.1</v>
      </c>
    </row>
    <row r="16" spans="1:24" x14ac:dyDescent="0.25">
      <c r="C16">
        <v>0.1</v>
      </c>
      <c r="D16">
        <v>0.1</v>
      </c>
      <c r="E16">
        <v>0.2</v>
      </c>
      <c r="F16">
        <v>0.2</v>
      </c>
    </row>
    <row r="20" spans="1:24" s="1" customFormat="1" x14ac:dyDescent="0.25">
      <c r="A20" s="1">
        <v>2</v>
      </c>
      <c r="B20" s="1" t="s">
        <v>149</v>
      </c>
      <c r="C20" s="1">
        <v>0.76560544616162496</v>
      </c>
      <c r="D20" s="1">
        <v>0.81975050661474103</v>
      </c>
      <c r="E20" s="1">
        <v>1</v>
      </c>
      <c r="F20" s="1" t="s">
        <v>149</v>
      </c>
      <c r="G20" s="1">
        <v>0.80700361244126395</v>
      </c>
      <c r="H20" s="1">
        <v>0.88783576569101197</v>
      </c>
      <c r="I20" s="1">
        <v>1</v>
      </c>
      <c r="J20" s="1" t="s">
        <v>149</v>
      </c>
      <c r="K20" s="1">
        <v>0.81853123040532205</v>
      </c>
      <c r="L20" s="1">
        <v>0.89933769811661102</v>
      </c>
      <c r="M20" s="1">
        <v>1</v>
      </c>
      <c r="N20" s="1" t="s">
        <v>149</v>
      </c>
      <c r="O20" s="1">
        <v>0.72091256605990595</v>
      </c>
      <c r="P20" s="1">
        <v>0.71068382774223104</v>
      </c>
      <c r="Q20" s="1">
        <v>2</v>
      </c>
      <c r="R20" s="1" t="s">
        <v>149</v>
      </c>
      <c r="S20" s="1">
        <v>0.687183795147567</v>
      </c>
      <c r="T20" s="1">
        <v>0.697336034765346</v>
      </c>
      <c r="U20" s="1">
        <v>1</v>
      </c>
      <c r="V20" s="1">
        <v>1.2</v>
      </c>
    </row>
    <row r="21" spans="1:24" s="1" customFormat="1" x14ac:dyDescent="0.25">
      <c r="A21" s="1">
        <v>3</v>
      </c>
      <c r="B21" s="1" t="s">
        <v>150</v>
      </c>
      <c r="C21" s="1">
        <v>0.73684355032069204</v>
      </c>
      <c r="D21" s="1">
        <v>0.71431053545846601</v>
      </c>
      <c r="E21" s="1">
        <v>7</v>
      </c>
      <c r="F21" s="1" t="s">
        <v>150</v>
      </c>
      <c r="G21" s="1">
        <v>0.79108471862083996</v>
      </c>
      <c r="H21" s="1">
        <v>0.76971714358382903</v>
      </c>
      <c r="I21" s="1">
        <v>8</v>
      </c>
      <c r="J21" s="1" t="s">
        <v>150</v>
      </c>
      <c r="K21" s="1">
        <v>0.80799221475487204</v>
      </c>
      <c r="L21" s="1">
        <v>0.790773237489654</v>
      </c>
      <c r="M21" s="1">
        <v>10</v>
      </c>
      <c r="N21" s="1" t="s">
        <v>150</v>
      </c>
      <c r="O21" s="1">
        <v>0.75577068028171701</v>
      </c>
      <c r="P21" s="1">
        <v>0.75858752045157796</v>
      </c>
      <c r="Q21" s="1">
        <v>17</v>
      </c>
      <c r="R21" s="1" t="s">
        <v>150</v>
      </c>
      <c r="S21" s="1">
        <v>0.71144151813839396</v>
      </c>
      <c r="T21" s="1">
        <v>0.72093339173287996</v>
      </c>
      <c r="U21" s="1">
        <v>3</v>
      </c>
      <c r="V21" s="1">
        <v>9</v>
      </c>
    </row>
    <row r="23" spans="1:24" x14ac:dyDescent="0.25">
      <c r="B23" s="1" t="s">
        <v>146</v>
      </c>
      <c r="C23" s="1">
        <v>0.733294298672727</v>
      </c>
      <c r="D23" s="1">
        <v>0.70663693100000002</v>
      </c>
      <c r="E23" s="1">
        <v>1</v>
      </c>
      <c r="F23" s="1" t="s">
        <v>146</v>
      </c>
      <c r="G23" s="1">
        <v>0.78878161766363597</v>
      </c>
      <c r="H23" s="1">
        <v>0.79513164250000001</v>
      </c>
      <c r="I23" s="1">
        <v>1</v>
      </c>
      <c r="J23" s="1" t="s">
        <v>146</v>
      </c>
      <c r="K23" s="1">
        <v>0.80657486010000001</v>
      </c>
      <c r="L23" s="1">
        <v>0.80516625100000005</v>
      </c>
      <c r="M23" s="1">
        <v>1</v>
      </c>
      <c r="N23" s="1" t="s">
        <v>146</v>
      </c>
      <c r="O23" s="1">
        <v>0.71508835665454595</v>
      </c>
      <c r="P23" s="1">
        <v>0.79367136199999999</v>
      </c>
      <c r="Q23" s="1">
        <v>5</v>
      </c>
      <c r="R23" s="1" t="s">
        <v>146</v>
      </c>
      <c r="S23" s="1">
        <v>0.71398830174545502</v>
      </c>
      <c r="T23" s="1">
        <v>0.70719881650000005</v>
      </c>
      <c r="U23" s="1">
        <v>11</v>
      </c>
      <c r="V23" s="1">
        <v>7</v>
      </c>
      <c r="W23" s="1">
        <v>3.8</v>
      </c>
      <c r="X23" s="1">
        <v>13.6</v>
      </c>
    </row>
    <row r="24" spans="1:24" s="1" customFormat="1" x14ac:dyDescent="0.25">
      <c r="B24" s="1" t="s">
        <v>147</v>
      </c>
      <c r="C24" s="1">
        <v>0.71520218822727299</v>
      </c>
      <c r="D24" s="1">
        <v>0.7171486225</v>
      </c>
      <c r="E24" s="1">
        <v>11</v>
      </c>
      <c r="F24" s="1" t="s">
        <v>147</v>
      </c>
      <c r="G24" s="1">
        <v>0.76560990795454498</v>
      </c>
      <c r="H24" s="1">
        <v>0.81848861500000003</v>
      </c>
      <c r="I24" s="1">
        <v>15</v>
      </c>
      <c r="J24" s="1" t="s">
        <v>147</v>
      </c>
      <c r="K24" s="1">
        <v>0.77862743186363603</v>
      </c>
      <c r="L24" s="1">
        <v>0.83071024000000004</v>
      </c>
      <c r="M24" s="1">
        <v>23</v>
      </c>
      <c r="N24" s="1" t="s">
        <v>147</v>
      </c>
      <c r="O24" s="1">
        <v>0.62249691434545495</v>
      </c>
      <c r="P24" s="1">
        <v>0.78886479099999995</v>
      </c>
      <c r="Q24" s="1">
        <v>54</v>
      </c>
      <c r="R24" s="1" t="s">
        <v>147</v>
      </c>
      <c r="S24" s="1">
        <v>0.72015840817272703</v>
      </c>
      <c r="T24" s="1">
        <v>0.72368513999999995</v>
      </c>
      <c r="U24" s="1">
        <v>70</v>
      </c>
      <c r="V24" s="1">
        <v>89</v>
      </c>
      <c r="W24" s="1">
        <v>34.6</v>
      </c>
      <c r="X24" s="1">
        <v>30.6</v>
      </c>
    </row>
    <row r="25" spans="1:24" s="1" customFormat="1" x14ac:dyDescent="0.25">
      <c r="B25" s="1" t="s">
        <v>148</v>
      </c>
      <c r="C25" s="1">
        <v>0.67364371239999998</v>
      </c>
      <c r="D25" s="1">
        <v>0.61880738150000003</v>
      </c>
      <c r="E25" s="1">
        <v>2</v>
      </c>
      <c r="F25" s="1" t="s">
        <v>148</v>
      </c>
      <c r="G25" s="1">
        <v>0.70614538942727301</v>
      </c>
      <c r="H25" s="1">
        <v>0.69951454150000003</v>
      </c>
      <c r="I25" s="1">
        <v>1</v>
      </c>
      <c r="J25" s="1" t="s">
        <v>148</v>
      </c>
      <c r="K25" s="1">
        <v>0.70854200483636398</v>
      </c>
      <c r="L25" s="1">
        <v>0.70556278750000001</v>
      </c>
      <c r="M25" s="1">
        <v>1</v>
      </c>
      <c r="N25" s="1" t="s">
        <v>148</v>
      </c>
      <c r="O25" s="1">
        <v>0.38482957470000001</v>
      </c>
      <c r="P25" s="1">
        <v>0.14565349</v>
      </c>
      <c r="Q25" s="1">
        <v>1</v>
      </c>
      <c r="R25" s="1" t="s">
        <v>148</v>
      </c>
      <c r="S25" s="1">
        <v>0.66653146361818205</v>
      </c>
      <c r="T25" s="1">
        <v>0.53686408050000001</v>
      </c>
      <c r="U25" s="1">
        <v>2</v>
      </c>
      <c r="V25" s="1">
        <v>24</v>
      </c>
      <c r="W25" s="1">
        <v>1.4</v>
      </c>
      <c r="X25" s="1">
        <v>9.1999999999999993</v>
      </c>
    </row>
    <row r="27" spans="1:24" x14ac:dyDescent="0.25">
      <c r="C27" s="1">
        <v>0.04</v>
      </c>
      <c r="D27" s="1">
        <v>0.02</v>
      </c>
      <c r="E27" s="1">
        <v>0.01</v>
      </c>
      <c r="F27" s="1">
        <v>0</v>
      </c>
      <c r="G27" s="1">
        <v>-0.02</v>
      </c>
    </row>
    <row r="28" spans="1:24" x14ac:dyDescent="0.25">
      <c r="C28" s="1">
        <v>0.01</v>
      </c>
      <c r="D28" s="1">
        <v>0</v>
      </c>
      <c r="E28" s="1">
        <v>0.03</v>
      </c>
      <c r="F28" s="1">
        <v>0.04</v>
      </c>
      <c r="G28" s="1">
        <v>0</v>
      </c>
    </row>
    <row r="31" spans="1:24" s="1" customFormat="1" x14ac:dyDescent="0.25">
      <c r="B31" s="1" t="s">
        <v>97</v>
      </c>
      <c r="C31" s="1" t="s">
        <v>98</v>
      </c>
      <c r="D31" s="1" t="s">
        <v>99</v>
      </c>
      <c r="E31" s="1" t="s">
        <v>100</v>
      </c>
      <c r="F31" s="1" t="s">
        <v>101</v>
      </c>
      <c r="G31" s="1" t="s">
        <v>102</v>
      </c>
      <c r="H31" s="1" t="s">
        <v>103</v>
      </c>
      <c r="I31" s="1" t="s">
        <v>104</v>
      </c>
      <c r="J31" s="1" t="s">
        <v>105</v>
      </c>
      <c r="K31" s="1" t="s">
        <v>106</v>
      </c>
      <c r="L31" s="1" t="s">
        <v>107</v>
      </c>
      <c r="M31" s="1" t="s">
        <v>108</v>
      </c>
      <c r="N31" s="1" t="s">
        <v>113</v>
      </c>
      <c r="O31" s="1" t="s">
        <v>114</v>
      </c>
      <c r="P31" s="1" t="s">
        <v>115</v>
      </c>
      <c r="Q31" s="1" t="s">
        <v>116</v>
      </c>
      <c r="R31" s="1" t="s">
        <v>109</v>
      </c>
      <c r="S31" s="1" t="s">
        <v>110</v>
      </c>
      <c r="T31" s="1" t="s">
        <v>111</v>
      </c>
      <c r="U31" s="1" t="s">
        <v>112</v>
      </c>
      <c r="V31" s="1" t="s">
        <v>117</v>
      </c>
    </row>
    <row r="32" spans="1:24" s="1" customFormat="1" x14ac:dyDescent="0.25">
      <c r="A32" s="1">
        <v>36</v>
      </c>
      <c r="B32" s="1" t="s">
        <v>151</v>
      </c>
      <c r="C32" s="1">
        <v>0.91575001751498397</v>
      </c>
      <c r="D32" s="1">
        <v>0.96077442763406096</v>
      </c>
      <c r="E32" s="1">
        <v>1</v>
      </c>
      <c r="F32" s="1" t="s">
        <v>151</v>
      </c>
      <c r="G32" s="1">
        <v>0.95400439481103005</v>
      </c>
      <c r="H32" s="1">
        <v>0.97875598557307597</v>
      </c>
      <c r="I32" s="1">
        <v>3</v>
      </c>
      <c r="J32" s="1" t="s">
        <v>151</v>
      </c>
      <c r="K32" s="1">
        <v>0.96089458929986005</v>
      </c>
      <c r="L32" s="1">
        <v>0.97875598557307597</v>
      </c>
      <c r="M32" s="1">
        <v>1</v>
      </c>
      <c r="N32" s="1" t="s">
        <v>151</v>
      </c>
      <c r="O32" s="1">
        <v>0.85331699672945605</v>
      </c>
      <c r="P32" s="1">
        <v>0.92725053495793497</v>
      </c>
      <c r="Q32" s="1">
        <v>15</v>
      </c>
      <c r="R32" s="1" t="s">
        <v>151</v>
      </c>
      <c r="S32" s="1">
        <v>0.90410996026603796</v>
      </c>
      <c r="T32" s="1">
        <v>0.94609843487898704</v>
      </c>
      <c r="U32" s="1">
        <v>1</v>
      </c>
      <c r="V32" s="1">
        <v>4.2</v>
      </c>
    </row>
    <row r="34" spans="2:24" s="1" customFormat="1" x14ac:dyDescent="0.25">
      <c r="B34" s="1" t="s">
        <v>120</v>
      </c>
      <c r="C34" s="1" t="s">
        <v>121</v>
      </c>
      <c r="D34" s="1" t="s">
        <v>123</v>
      </c>
      <c r="E34" s="1" t="s">
        <v>124</v>
      </c>
      <c r="F34" s="1" t="s">
        <v>125</v>
      </c>
      <c r="G34" s="1" t="s">
        <v>126</v>
      </c>
      <c r="H34" s="1" t="s">
        <v>127</v>
      </c>
      <c r="I34" s="1" t="s">
        <v>128</v>
      </c>
      <c r="J34" s="1" t="s">
        <v>129</v>
      </c>
      <c r="K34" s="1" t="s">
        <v>130</v>
      </c>
      <c r="L34" s="1" t="s">
        <v>131</v>
      </c>
      <c r="M34" s="1" t="s">
        <v>132</v>
      </c>
      <c r="N34" s="1" t="s">
        <v>133</v>
      </c>
      <c r="O34" s="1" t="s">
        <v>134</v>
      </c>
      <c r="P34" s="1" t="s">
        <v>135</v>
      </c>
      <c r="Q34" s="1" t="s">
        <v>136</v>
      </c>
      <c r="R34" s="1" t="s">
        <v>137</v>
      </c>
      <c r="S34" s="1" t="s">
        <v>138</v>
      </c>
      <c r="T34" s="1" t="s">
        <v>139</v>
      </c>
      <c r="U34" s="1" t="s">
        <v>140</v>
      </c>
      <c r="V34" s="1" t="s">
        <v>141</v>
      </c>
      <c r="W34" s="1" t="s">
        <v>117</v>
      </c>
      <c r="X34" s="1" t="s">
        <v>142</v>
      </c>
    </row>
    <row r="35" spans="2:24" s="1" customFormat="1" x14ac:dyDescent="0.25">
      <c r="B35" s="1" t="s">
        <v>152</v>
      </c>
      <c r="C35" s="1">
        <v>0.87773674961210801</v>
      </c>
      <c r="D35" s="1">
        <v>0.88324133148343997</v>
      </c>
      <c r="E35" s="1">
        <v>6</v>
      </c>
      <c r="F35" s="1" t="s">
        <v>153</v>
      </c>
      <c r="G35" s="1">
        <v>0.92416835714082601</v>
      </c>
      <c r="H35" s="1">
        <v>0.94185620150000005</v>
      </c>
      <c r="I35" s="1">
        <v>4</v>
      </c>
      <c r="J35" s="1" t="s">
        <v>153</v>
      </c>
      <c r="K35" s="1">
        <v>0.92893208013353801</v>
      </c>
      <c r="L35" s="1">
        <v>0.94942343530634599</v>
      </c>
      <c r="M35" s="1">
        <v>4</v>
      </c>
      <c r="N35" s="1" t="s">
        <v>153</v>
      </c>
      <c r="O35" s="1">
        <v>0.80561041506832398</v>
      </c>
      <c r="P35" s="1">
        <v>0.83627515600000002</v>
      </c>
      <c r="Q35" s="1">
        <v>42</v>
      </c>
      <c r="R35" s="1" t="s">
        <v>153</v>
      </c>
      <c r="S35" s="1">
        <v>0.87877420979498</v>
      </c>
      <c r="T35" s="1">
        <v>0.88967675450000006</v>
      </c>
      <c r="U35" s="1">
        <v>3</v>
      </c>
      <c r="V35" s="1">
        <v>154</v>
      </c>
      <c r="W35" s="1">
        <v>11.8</v>
      </c>
      <c r="X35" s="1">
        <v>193.6</v>
      </c>
    </row>
    <row r="37" spans="2:24" x14ac:dyDescent="0.25">
      <c r="C37">
        <v>0.04</v>
      </c>
      <c r="D37">
        <v>0.03</v>
      </c>
      <c r="E37">
        <v>0.03</v>
      </c>
      <c r="F37">
        <v>0.04</v>
      </c>
      <c r="G37">
        <v>0.02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FP_all</vt:lpstr>
      <vt:lpstr>Sheet3</vt:lpstr>
      <vt:lpstr>FP_fig</vt:lpstr>
      <vt:lpstr>FP_fig1</vt:lpstr>
      <vt:lpstr>cls_cv_err</vt:lpstr>
      <vt:lpstr>importance</vt:lpstr>
      <vt:lpstr>cv_ress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2023-04-25T03:29:05Z</dcterms:modified>
</cp:coreProperties>
</file>